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10" windowWidth="22980" windowHeight="11520"/>
  </bookViews>
  <sheets>
    <sheet name="Solver" sheetId="4" r:id="rId1"/>
  </sheets>
  <definedNames>
    <definedName name="DC_North" localSheetId="0">Solver!$E$4</definedName>
    <definedName name="DC_South" localSheetId="0">Solver!$E$24</definedName>
    <definedName name="Energy_Cost" localSheetId="0">Solver!$E$39</definedName>
    <definedName name="Energy_Violation_Cost" localSheetId="0">Solver!$E$41</definedName>
    <definedName name="NI_All_Joint_Risk_Vio_Penalty" localSheetId="0">Solver!$E$44</definedName>
    <definedName name="NI_DC_RampUp" localSheetId="0">Solver!$T$4</definedName>
    <definedName name="NI_DCRisk_FIR" localSheetId="0">Solver!$M$15</definedName>
    <definedName name="NI_DCRisk_LIR">Solver!$O$15</definedName>
    <definedName name="NI_DCRisk_SIR" localSheetId="0">Solver!$N$15</definedName>
    <definedName name="NI_Deficit" localSheetId="0">Solver!$U$4</definedName>
    <definedName name="NI_Demand" localSheetId="0">Solver!$D$4</definedName>
    <definedName name="NI_Energy_Cleared" localSheetId="0">Solver!$V$9:$V$14</definedName>
    <definedName name="NI_Energy_Offer_MW" localSheetId="0">Solver!$F$9:$F$14</definedName>
    <definedName name="NI_Energy_Offer_Price" localSheetId="0">Solver!$G$9:$G$14</definedName>
    <definedName name="NI_Energy_Price" localSheetId="0">Solver!$K$4</definedName>
    <definedName name="NI_EnergyFIR_Cleared" localSheetId="0">Solver!$P$9:$P$14</definedName>
    <definedName name="NI_EnergyLIR_Cleared">Solver!$R$9:$R$14</definedName>
    <definedName name="NI_EnergySIR_Cleared" localSheetId="0">Solver!$Q$9:$Q$14</definedName>
    <definedName name="NI_Factor_FIR" localSheetId="0">Solver!$J$9:$J$14</definedName>
    <definedName name="NI_Factor_LIR" localSheetId="0">Solver!$L$9:$L$14</definedName>
    <definedName name="NI_Factor_SIR">Solver!$K$9:$K$14</definedName>
    <definedName name="NI_FIR_Cleared" localSheetId="0">Solver!$S$9:$S$14</definedName>
    <definedName name="NI_FIR_GenRisk1" localSheetId="0">Solver!$M$9</definedName>
    <definedName name="NI_FIR_GenRisk2" localSheetId="0">Solver!$M$10</definedName>
    <definedName name="NI_FIR_GenRisk3" localSheetId="0">Solver!$M$11</definedName>
    <definedName name="NI_FIR_GenRisk4" localSheetId="0">Solver!$M$12</definedName>
    <definedName name="NI_FIR_GenRisk5" localSheetId="0">Solver!$M$13</definedName>
    <definedName name="NI_FIR_GenRisk6" localSheetId="0">Solver!$M$14</definedName>
    <definedName name="NI_FIR_MW">Solver!$H$4</definedName>
    <definedName name="NI_FIR_Price" localSheetId="0">Solver!$M$4</definedName>
    <definedName name="NI_Gen_Capacity" localSheetId="0">Solver!$D$9:$D$14</definedName>
    <definedName name="NI_GenRisk_FIR" localSheetId="0">Solver!$M$9:$M$14</definedName>
    <definedName name="NI_GenRisk_LIR">Solver!$O$9:$O$14</definedName>
    <definedName name="NI_GenRisk_SIR" localSheetId="0">Solver!$N$9:$N$14</definedName>
    <definedName name="NI_Indi_Joint_Risk_Vio_Penalty" localSheetId="0">Solver!$E$47</definedName>
    <definedName name="NI_Isla_Risk_Vio_Penalty" localSheetId="0">Solver!$E$42</definedName>
    <definedName name="NI_LIR_Cleared">Solver!$U$9:$U$14</definedName>
    <definedName name="NI_LIR_GenRisk1">Solver!$O$9</definedName>
    <definedName name="NI_LIR_GenRisk2">Solver!$O$10</definedName>
    <definedName name="NI_LIR_GenRisk3">Solver!$O$11</definedName>
    <definedName name="NI_LIR_GenRisk4">Solver!$O$12</definedName>
    <definedName name="NI_LIR_GenRisk5">Solver!$O$13</definedName>
    <definedName name="NI_LIR_GenRisk6">Solver!$O$14</definedName>
    <definedName name="NI_LIR_MW">Solver!$J$4</definedName>
    <definedName name="NI_LIR_Price">Solver!$O$4</definedName>
    <definedName name="NI_ManualRisk" localSheetId="0">Solver!$S$4</definedName>
    <definedName name="NI_ManualRisk_FIR" localSheetId="0">Solver!$M$16</definedName>
    <definedName name="NI_ManualRisk_LIR">Solver!$O$16</definedName>
    <definedName name="NI_ManualRisk_SIR" localSheetId="0">Solver!$N$16</definedName>
    <definedName name="NI_NFR_FIR" localSheetId="0">Solver!$P$4</definedName>
    <definedName name="NI_NFR_LIR" localSheetId="0">Solver!$R$4</definedName>
    <definedName name="NI_NFR_SIR">Solver!$Q$4</definedName>
    <definedName name="NI_Reserve_Class">Solver!$H$4:$J$4</definedName>
    <definedName name="NI_Reserve_Class_MW">Solver!$S$16:$U$16</definedName>
    <definedName name="NI_Reserve_Cleared">Solver!$W$9:$W$14</definedName>
    <definedName name="NI_Reserve_Offer_MW" localSheetId="0">Solver!$H$9:$H$14</definedName>
    <definedName name="NI_Reserve_Offer_Price" localSheetId="0">Solver!$I$9:$I$14</definedName>
    <definedName name="NI_Reserve_Price">Solver!$L$4</definedName>
    <definedName name="NI_Reserve_Received_MW">Solver!$S$18:$U$18</definedName>
    <definedName name="NI_Reserve_Share_Eff">Solver!$I$17</definedName>
    <definedName name="NI_Reserve_Share_Max">Solver!$H$17</definedName>
    <definedName name="NI_Reserve_Share_MW">Solver!$S$17:$U$17</definedName>
    <definedName name="NI_Reserve_Viol">Solver!$M$18:$P$18</definedName>
    <definedName name="NI_Risk">Solver!$M$17:$O$17</definedName>
    <definedName name="NI_Risk_FIR" localSheetId="0">Solver!$M$17</definedName>
    <definedName name="NI_Risk_LIR">Solver!$O$17</definedName>
    <definedName name="NI_Risk_SIR" localSheetId="0">Solver!$N$17</definedName>
    <definedName name="NI_SIR_Cleared" localSheetId="0">Solver!$T$9:$T$14</definedName>
    <definedName name="NI_SIR_GenRisk1" localSheetId="0">Solver!$N$9</definedName>
    <definedName name="NI_SIR_GenRisk2" localSheetId="0">Solver!$N$10</definedName>
    <definedName name="NI_SIR_GenRisk3" localSheetId="0">Solver!$N$11</definedName>
    <definedName name="NI_SIR_GenRisk4" localSheetId="0">Solver!$N$12</definedName>
    <definedName name="NI_SIR_GenRisk5" localSheetId="0">Solver!$N$13</definedName>
    <definedName name="NI_SIR_GenRisk6" localSheetId="0">Solver!$N$14</definedName>
    <definedName name="NI_SIR_MW">Solver!$I$4</definedName>
    <definedName name="NI_SIR_Price" localSheetId="0">Solver!$N$4</definedName>
    <definedName name="NI_Total_Energy" localSheetId="0">Solver!$F$4</definedName>
    <definedName name="NI_Total_FIR" localSheetId="0">Solver!$S$16</definedName>
    <definedName name="NI_Total_LIR">Solver!$U$16</definedName>
    <definedName name="NI_Total_SIR" localSheetId="0">Solver!$T$16</definedName>
    <definedName name="NI_Viol_Cost_FIR" localSheetId="0">Solver!$D$15</definedName>
    <definedName name="NI_Viol_Cost_Joint" localSheetId="0">Solver!$D$18</definedName>
    <definedName name="NI_Viol_Cost_LIR">Solver!$D$17</definedName>
    <definedName name="NI_Viol_Cost_SIR" localSheetId="0">Solver!$D$16</definedName>
    <definedName name="NI_Violation_FIR" localSheetId="0">Solver!$M$18</definedName>
    <definedName name="NI_Violation_Joint" localSheetId="0">Solver!$P$18</definedName>
    <definedName name="NI_Violation_LIR">Solver!$O$18</definedName>
    <definedName name="NI_Violation_SIR" localSheetId="0">Solver!$N$18</definedName>
    <definedName name="NI_Voll" localSheetId="0">Solver!$V$4</definedName>
    <definedName name="NMIR_model">Solver!$J$42</definedName>
    <definedName name="OpenSolver_Duals" localSheetId="0" hidden="1">Solver!$CC$2</definedName>
    <definedName name="Reserve_Cost" localSheetId="0">Solver!$E$40</definedName>
    <definedName name="SI_All_Joint_Risk_Vio_Penalty" localSheetId="0">Solver!$E$45</definedName>
    <definedName name="SI_Cleared_FIR" localSheetId="0">Solver!$S$29:$S$33</definedName>
    <definedName name="SI_DC_RampUp" localSheetId="0">Solver!$T$24</definedName>
    <definedName name="SI_DCRisk_FIR" localSheetId="0">Solver!$M$34</definedName>
    <definedName name="SI_DCRisk_LIR">Solver!$O$34</definedName>
    <definedName name="SI_DCRisk_SIR" localSheetId="0">Solver!$N$34</definedName>
    <definedName name="SI_Deficit" localSheetId="0">Solver!$U$24</definedName>
    <definedName name="SI_Demand" localSheetId="0">Solver!$D$24</definedName>
    <definedName name="SI_Energy_Cleared" localSheetId="0">Solver!$V$29:$V$33</definedName>
    <definedName name="SI_Energy_Offer_MW" localSheetId="0">Solver!$F$29:$F$33</definedName>
    <definedName name="SI_Energy_Offer_Price" localSheetId="0">Solver!$G$29:$G$33</definedName>
    <definedName name="SI_Energy_Price" localSheetId="0">Solver!$K$24</definedName>
    <definedName name="SI_EnergyFIR_Cleared" localSheetId="0">Solver!$P$29:$P$33</definedName>
    <definedName name="SI_EnergyLIR_Cleared">Solver!$R$29:$R$33</definedName>
    <definedName name="SI_EnergySIR_Cleared" localSheetId="0">Solver!$Q$29:$Q$33</definedName>
    <definedName name="SI_Factor_FIR" localSheetId="0">Solver!$J$29:$J$33</definedName>
    <definedName name="SI_Factor_LIR" localSheetId="0">Solver!$L$29:$L$33</definedName>
    <definedName name="SI_Factor_SIR">Solver!$K$29:$K$33</definedName>
    <definedName name="SI_FIR_GenRisk1" localSheetId="0">Solver!$M$29</definedName>
    <definedName name="SI_FIR_GenRisk2" localSheetId="0">Solver!$M$30</definedName>
    <definedName name="SI_FIR_GenRisk3" localSheetId="0">Solver!$M$31</definedName>
    <definedName name="SI_FIR_GenRisk4" localSheetId="0">Solver!$M$32</definedName>
    <definedName name="SI_FIR_GenRisk5" localSheetId="0">Solver!$M$33</definedName>
    <definedName name="SI_FIR_MW">Solver!$H$24</definedName>
    <definedName name="SI_FIR_Price" localSheetId="0">Solver!$M$24</definedName>
    <definedName name="SI_Gen_Capacity" localSheetId="0">Solver!$D$29:$D$33</definedName>
    <definedName name="SI_GenRisk_FIR" localSheetId="0">Solver!$M$29:$M$33</definedName>
    <definedName name="SI_GenRisk_LIR">Solver!$O$29:$O$33</definedName>
    <definedName name="SI_GenRisk_SIR" localSheetId="0">Solver!$N$29:$N$33</definedName>
    <definedName name="SI_Indi_Joint_Risk_Vio_Penalty" localSheetId="0">Solver!$E$48</definedName>
    <definedName name="SI_Isla_Risk_Vio_Penalty" localSheetId="0">Solver!$E$43</definedName>
    <definedName name="SI_LIR_Cleared">Solver!$U$29:$U$33</definedName>
    <definedName name="SI_LIR_MW">Solver!$J$24</definedName>
    <definedName name="SI_LIR_Price">Solver!$O$24</definedName>
    <definedName name="SI_ManualRisk" localSheetId="0">Solver!$S$24</definedName>
    <definedName name="SI_ManualRisk_FIR" localSheetId="0">Solver!$M$35</definedName>
    <definedName name="SI_ManualRisk_LIR">Solver!$O$35</definedName>
    <definedName name="SI_ManualRisk_SIR" localSheetId="0">Solver!$N$35</definedName>
    <definedName name="SI_NFR_FIR" localSheetId="0">Solver!$P$24</definedName>
    <definedName name="SI_NFR_LIR" localSheetId="0">Solver!$R$24</definedName>
    <definedName name="SI_NFR_SIR">Solver!$Q$24</definedName>
    <definedName name="SI_Reserve_Class">Solver!$H$24:$J$24</definedName>
    <definedName name="SI_Reserve_Class_MW">Solver!$S$35:$U$35</definedName>
    <definedName name="SI_Reserve_Cleared">Solver!$W$29:$W$33</definedName>
    <definedName name="SI_Reserve_Offer_MW" localSheetId="0">Solver!$H$29:$H$33</definedName>
    <definedName name="SI_Reserve_Offer_Price" localSheetId="0">Solver!$I$29:$I$33</definedName>
    <definedName name="SI_Reserve_Price">Solver!$L$24</definedName>
    <definedName name="SI_Reserve_Received_MW">Solver!$S$37:$U$37</definedName>
    <definedName name="SI_Reserve_Share_Eff">Solver!$I$36</definedName>
    <definedName name="SI_Reserve_Share_Max">Solver!$H$36</definedName>
    <definedName name="SI_Reserve_Share_MW">Solver!$S$36:$U$36</definedName>
    <definedName name="SI_Reserve_Viol">Solver!$M$37:$P$37</definedName>
    <definedName name="SI_Risk">Solver!$M$36:$O$36</definedName>
    <definedName name="SI_Risk_FIR" localSheetId="0">Solver!$M$36</definedName>
    <definedName name="SI_Risk_LIR">Solver!$O$36</definedName>
    <definedName name="SI_Risk_SIR" localSheetId="0">Solver!$N$36</definedName>
    <definedName name="SI_SIR_Cleared" localSheetId="0">Solver!$T$29:$T$33</definedName>
    <definedName name="SI_SIR_GenRisk1" localSheetId="0">Solver!$N$29</definedName>
    <definedName name="SI_SIR_GenRisk2" localSheetId="0">Solver!$N$30</definedName>
    <definedName name="SI_SIR_GenRisk3" localSheetId="0">Solver!$N$31</definedName>
    <definedName name="SI_SIR_GenRisk4" localSheetId="0">Solver!$N$32</definedName>
    <definedName name="SI_SIR_GenRisk5" localSheetId="0">Solver!$N$33</definedName>
    <definedName name="SI_SIR_MW">Solver!$I$24</definedName>
    <definedName name="SI_SIR_Price" localSheetId="0">Solver!$N$24</definedName>
    <definedName name="SI_Total_Energy" localSheetId="0">Solver!$F$24</definedName>
    <definedName name="SI_Total_FIR">Solver!$S$35</definedName>
    <definedName name="SI_Total_LIR">Solver!$U$35</definedName>
    <definedName name="SI_Total_SIR" localSheetId="0">Solver!$T$35</definedName>
    <definedName name="SI_Viol_Cost_FIR" localSheetId="0">Solver!$D$34</definedName>
    <definedName name="SI_Viol_Cost_Joint" localSheetId="0">Solver!$D$37</definedName>
    <definedName name="SI_Viol_Cost_LIR">Solver!$D$36</definedName>
    <definedName name="SI_Viol_Cost_SIR" localSheetId="0">Solver!$D$35</definedName>
    <definedName name="SI_Violation_FIR" localSheetId="0">Solver!$M$37</definedName>
    <definedName name="SI_Violation_Joint" localSheetId="0">Solver!$P$37</definedName>
    <definedName name="SI_Violation_LIR" localSheetId="0">Solver!$O$37</definedName>
    <definedName name="SI_Violation_SIR" localSheetId="0">Solver!$N$37</definedName>
    <definedName name="SI_Voll" localSheetId="0">Solver!$V$24</definedName>
    <definedName name="solver_adj" localSheetId="0" hidden="1">Solver!$E$4,Solver!$U$4,Solver!$V$9:$W$14,Solver!$M$17:$O$17,Solver!$M$18:$P$18,Solver!$E$24,Solver!$U$24,Solver!$V$29:$W$33,Solver!$M$36:$O$36,Solver!$M$37:$P$37,Solver!$H$4:$J$4,Solver!$H$24:$J$24,Solver!$S$17:$U$17,Solver!$S$36:$U$36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10000</definedName>
    <definedName name="solver_lhs0" localSheetId="0" hidden="1">Solver!$M$37</definedName>
    <definedName name="solver_lhs1" localSheetId="0" hidden="1">Solver!$F$4</definedName>
    <definedName name="solver_lhs10" localSheetId="0" hidden="1">Solver!$W$29:$W$33</definedName>
    <definedName name="solver_lhs11" localSheetId="0" hidden="1">Solver!$V$9:$V$14</definedName>
    <definedName name="solver_lhs12" localSheetId="0" hidden="1">Solver!$V$29:$V$33</definedName>
    <definedName name="solver_lhs13" localSheetId="0" hidden="1">Solver!$P$9:$P$14</definedName>
    <definedName name="solver_lhs14" localSheetId="0" hidden="1">Solver!$Q$9:$Q$14</definedName>
    <definedName name="solver_lhs15" localSheetId="0" hidden="1">Solver!$R$9:$R$14</definedName>
    <definedName name="solver_lhs16" localSheetId="0" hidden="1">Solver!$P$29:$P$33</definedName>
    <definedName name="solver_lhs17" localSheetId="0" hidden="1">Solver!$Q$29:$Q$33</definedName>
    <definedName name="solver_lhs18" localSheetId="0" hidden="1">Solver!$R$29:$R$33</definedName>
    <definedName name="solver_lhs19" localSheetId="0" hidden="1">Solver!$H$4</definedName>
    <definedName name="solver_lhs2" localSheetId="0" hidden="1">Solver!$F$24</definedName>
    <definedName name="solver_lhs20" localSheetId="0" hidden="1">Solver!$I$4</definedName>
    <definedName name="solver_lhs21" localSheetId="0" hidden="1">Solver!$J$4</definedName>
    <definedName name="solver_lhs22" localSheetId="0" hidden="1">Solver!$H$24</definedName>
    <definedName name="solver_lhs23" localSheetId="0" hidden="1">Solver!$I$24</definedName>
    <definedName name="solver_lhs24" localSheetId="0" hidden="1">Solver!$J$24</definedName>
    <definedName name="solver_lhs25" localSheetId="0" hidden="1">Solver!$M$18</definedName>
    <definedName name="solver_lhs26" localSheetId="0" hidden="1">Solver!$N$18</definedName>
    <definedName name="solver_lhs27" localSheetId="0" hidden="1">Solver!$O$18</definedName>
    <definedName name="solver_lhs28" localSheetId="0" hidden="1">Solver!$M$37</definedName>
    <definedName name="solver_lhs29" localSheetId="0" hidden="1">Solver!$N$37</definedName>
    <definedName name="solver_lhs3" localSheetId="0" hidden="1">Solver!$S$16</definedName>
    <definedName name="solver_lhs30" localSheetId="0" hidden="1">Solver!$O$37</definedName>
    <definedName name="solver_lhs31" localSheetId="0" hidden="1">Solver!$M$9:$M$14</definedName>
    <definedName name="solver_lhs32" localSheetId="0" hidden="1">Solver!$N$9:$N$14</definedName>
    <definedName name="solver_lhs33" localSheetId="0" hidden="1">Solver!$O$9:$O$14</definedName>
    <definedName name="solver_lhs34" localSheetId="0" hidden="1">Solver!$M$29:$M$33</definedName>
    <definedName name="solver_lhs35" localSheetId="0" hidden="1">Solver!$N$29:$N$33</definedName>
    <definedName name="solver_lhs36" localSheetId="0" hidden="1">Solver!$O$29:$O$33</definedName>
    <definedName name="solver_lhs37" localSheetId="0" hidden="1">Solver!$M$15</definedName>
    <definedName name="solver_lhs38" localSheetId="0" hidden="1">Solver!$N$15</definedName>
    <definedName name="solver_lhs39" localSheetId="0" hidden="1">Solver!$O$15</definedName>
    <definedName name="solver_lhs4" localSheetId="0" hidden="1">Solver!$T$16</definedName>
    <definedName name="solver_lhs40" localSheetId="0" hidden="1">Solver!$M$34</definedName>
    <definedName name="solver_lhs41" localSheetId="0" hidden="1">Solver!$N$34</definedName>
    <definedName name="solver_lhs42" localSheetId="0" hidden="1">Solver!$O$34</definedName>
    <definedName name="solver_lhs43" localSheetId="0" hidden="1">Solver!$M$16</definedName>
    <definedName name="solver_lhs44" localSheetId="0" hidden="1">Solver!$N$16</definedName>
    <definedName name="solver_lhs45" localSheetId="0" hidden="1">Solver!$O$16</definedName>
    <definedName name="solver_lhs46" localSheetId="0" hidden="1">Solver!$M$35</definedName>
    <definedName name="solver_lhs47" localSheetId="0" hidden="1">Solver!$N$35</definedName>
    <definedName name="solver_lhs48" localSheetId="0" hidden="1">Solver!$O$35</definedName>
    <definedName name="solver_lhs49" localSheetId="0" hidden="1">Solver!$S$17:$U$17</definedName>
    <definedName name="solver_lhs5" localSheetId="0" hidden="1">Solver!$U$16</definedName>
    <definedName name="solver_lhs50" localSheetId="0" hidden="1">Solver!$S$36:$U$36</definedName>
    <definedName name="solver_lhs51" localSheetId="0" hidden="1">Solver!$S$36:$U$36</definedName>
    <definedName name="solver_lhs52" localSheetId="0" hidden="1">Solver!$S$36:$U$36</definedName>
    <definedName name="solver_lhs53" localSheetId="0" hidden="1">Solver!$T$16</definedName>
    <definedName name="solver_lhs54" localSheetId="0" hidden="1">Solver!$T$35</definedName>
    <definedName name="solver_lhs55" localSheetId="0" hidden="1">Solver!$F$24</definedName>
    <definedName name="solver_lhs56" localSheetId="0" hidden="1">Solver!$V$9:$V$14</definedName>
    <definedName name="solver_lhs6" localSheetId="0" hidden="1">Solver!$S$35</definedName>
    <definedName name="solver_lhs7" localSheetId="0" hidden="1">Solver!$T$35</definedName>
    <definedName name="solver_lhs8" localSheetId="0" hidden="1">Solver!$U$35</definedName>
    <definedName name="solver_lhs9" localSheetId="0" hidden="1">Solver!$W$9:$W$14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50</definedName>
    <definedName name="solver_nwt" localSheetId="0" hidden="1">1</definedName>
    <definedName name="solver_opt" localSheetId="0" hidden="1">Solver!$I$40</definedName>
    <definedName name="solver_pre" localSheetId="0" hidden="1">0.00001</definedName>
    <definedName name="solver_rbv" localSheetId="0" hidden="1">1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3</definedName>
    <definedName name="solver_rel2" localSheetId="0" hidden="1">2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3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2</definedName>
    <definedName name="solver_rel5" localSheetId="0" hidden="1">3</definedName>
    <definedName name="solver_rel50" localSheetId="0" hidden="1">2</definedName>
    <definedName name="solver_rel51" localSheetId="0" hidden="1">1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3</definedName>
    <definedName name="solver_rel56" localSheetId="0" hidden="1">1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1</definedName>
    <definedName name="solver_rhs0" localSheetId="0" hidden="1">Solver!$P$37</definedName>
    <definedName name="solver_rhs1" localSheetId="0" hidden="1">Solver!NI_Demand</definedName>
    <definedName name="solver_rhs10" localSheetId="0" hidden="1">Solver!SI_Reserve_Offer_MW</definedName>
    <definedName name="solver_rhs11" localSheetId="0" hidden="1">Solver!NI_Energy_Offer_MW</definedName>
    <definedName name="solver_rhs12" localSheetId="0" hidden="1">Solver!SI_Energy_Offer_MW</definedName>
    <definedName name="solver_rhs13" localSheetId="0" hidden="1">Solver!NI_Gen_Capacity</definedName>
    <definedName name="solver_rhs14" localSheetId="0" hidden="1">Solver!NI_Gen_Capacity</definedName>
    <definedName name="solver_rhs15" localSheetId="0" hidden="1">Solver!NI_Gen_Capacity</definedName>
    <definedName name="solver_rhs16" localSheetId="0" hidden="1">Solver!SI_Gen_Capacity</definedName>
    <definedName name="solver_rhs17" localSheetId="0" hidden="1">Solver!SI_Gen_Capacity</definedName>
    <definedName name="solver_rhs18" localSheetId="0" hidden="1">Solver!SI_Gen_Capacity</definedName>
    <definedName name="solver_rhs19" localSheetId="0" hidden="1">Solver!NI_Risk_FIR</definedName>
    <definedName name="solver_rhs2" localSheetId="0" hidden="1">Solver!SI_Demand</definedName>
    <definedName name="solver_rhs20" localSheetId="0" hidden="1">Solver!NI_Risk_SIR</definedName>
    <definedName name="solver_rhs21" localSheetId="0" hidden="1">NI_Risk_LIR</definedName>
    <definedName name="solver_rhs22" localSheetId="0" hidden="1">Solver!SI_Risk_FIR</definedName>
    <definedName name="solver_rhs23" localSheetId="0" hidden="1">Solver!SI_Risk_SIR</definedName>
    <definedName name="solver_rhs24" localSheetId="0" hidden="1">SI_Risk_LIR</definedName>
    <definedName name="solver_rhs25" localSheetId="0" hidden="1">Solver!NI_Violation_Joint</definedName>
    <definedName name="solver_rhs26" localSheetId="0" hidden="1">Solver!NI_Violation_Joint</definedName>
    <definedName name="solver_rhs27" localSheetId="0" hidden="1">Solver!NI_Violation_Joint</definedName>
    <definedName name="solver_rhs28" localSheetId="0" hidden="1">Solver!SI_Violation_Joint</definedName>
    <definedName name="solver_rhs29" localSheetId="0" hidden="1">Solver!SI_Violation_Joint</definedName>
    <definedName name="solver_rhs3" localSheetId="0" hidden="1">NI_FIR_MW</definedName>
    <definedName name="solver_rhs30" localSheetId="0" hidden="1">Solver!SI_Violation_Joint</definedName>
    <definedName name="solver_rhs31" localSheetId="0" hidden="1">Solver!NI_Risk_FIR</definedName>
    <definedName name="solver_rhs32" localSheetId="0" hidden="1">Solver!NI_Risk_SIR</definedName>
    <definedName name="solver_rhs33" localSheetId="0" hidden="1">NI_Risk_LIR</definedName>
    <definedName name="solver_rhs34" localSheetId="0" hidden="1">Solver!SI_Risk_FIR</definedName>
    <definedName name="solver_rhs35" localSheetId="0" hidden="1">Solver!SI_Risk_SIR</definedName>
    <definedName name="solver_rhs36" localSheetId="0" hidden="1">SI_Risk_LIR</definedName>
    <definedName name="solver_rhs37" localSheetId="0" hidden="1">Solver!NI_Risk_FIR</definedName>
    <definedName name="solver_rhs38" localSheetId="0" hidden="1">Solver!NI_Risk_SIR</definedName>
    <definedName name="solver_rhs39" localSheetId="0" hidden="1">NI_Risk_LIR</definedName>
    <definedName name="solver_rhs4" localSheetId="0" hidden="1">NI_SIR_MW</definedName>
    <definedName name="solver_rhs40" localSheetId="0" hidden="1">Solver!SI_Risk_FIR</definedName>
    <definedName name="solver_rhs41" localSheetId="0" hidden="1">Solver!SI_Risk_SIR</definedName>
    <definedName name="solver_rhs42" localSheetId="0" hidden="1">SI_Risk_LIR</definedName>
    <definedName name="solver_rhs43" localSheetId="0" hidden="1">Solver!NI_Risk_FIR</definedName>
    <definedName name="solver_rhs44" localSheetId="0" hidden="1">Solver!NI_Risk_SIR</definedName>
    <definedName name="solver_rhs45" localSheetId="0" hidden="1">NI_Risk_LIR</definedName>
    <definedName name="solver_rhs46" localSheetId="0" hidden="1">Solver!SI_Risk_FIR</definedName>
    <definedName name="solver_rhs47" localSheetId="0" hidden="1">Solver!SI_Risk_SIR</definedName>
    <definedName name="solver_rhs48" localSheetId="0" hidden="1">SI_Risk_LIR</definedName>
    <definedName name="solver_rhs49" localSheetId="0" hidden="1">0</definedName>
    <definedName name="solver_rhs5" localSheetId="0" hidden="1">NI_LIR_MW</definedName>
    <definedName name="solver_rhs50" localSheetId="0" hidden="1">0</definedName>
    <definedName name="solver_rhs51" localSheetId="0" hidden="1">SI_Reserve_Share_Max</definedName>
    <definedName name="solver_rhs52" localSheetId="0" hidden="1">SI_Reserve_Class</definedName>
    <definedName name="solver_rhs53" localSheetId="0" hidden="1">Solver!$N$17</definedName>
    <definedName name="solver_rhs54" localSheetId="0" hidden="1">Solver!$N$36</definedName>
    <definedName name="solver_rhs55" localSheetId="0" hidden="1">1000</definedName>
    <definedName name="solver_rhs56" localSheetId="0" hidden="1">Solver!$F$9:$F$14</definedName>
    <definedName name="solver_rhs6" localSheetId="0" hidden="1">SI_FIR_MW</definedName>
    <definedName name="solver_rhs7" localSheetId="0" hidden="1">SI_SIR_MW</definedName>
    <definedName name="solver_rhs8" localSheetId="0" hidden="1">SI_LIR_MW</definedName>
    <definedName name="solver_rhs9" localSheetId="0" hidden="1">Solver!NI_Reserve_Offer_MW</definedName>
    <definedName name="solver_rlx" localSheetId="0" hidden="1">2</definedName>
    <definedName name="solver_rsd" localSheetId="0" hidden="1">0</definedName>
    <definedName name="solver_scl" localSheetId="0" hidden="1">0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0.0001</definedName>
    <definedName name="solver_typ" localSheetId="0" hidden="1">2</definedName>
    <definedName name="solver_val" localSheetId="0" hidden="1">0</definedName>
    <definedName name="solver_ver" localSheetId="0" hidden="1">3</definedName>
    <definedName name="TotalCost" localSheetId="0">Solver!$I$40</definedName>
    <definedName name="Variables" localSheetId="0">Solver!$E$4,Solver!$U$4,Solver!$V$9:$W$14,Solver!$M$17:$O$17,Solver!$M$18:$P$18,Solver!$E$24,Solver!$U$24,Solver!$V$29:$W$33,Solver!$M$36:$O$36,Solver!$M$37:$P$37,Solver!$H$4:$J$4,Solver!$H$24:$J$24,Solver!$S$17:$U$17,Solver!$S$36:$U$36</definedName>
  </definedNames>
  <calcPr calcId="145621"/>
</workbook>
</file>

<file path=xl/calcChain.xml><?xml version="1.0" encoding="utf-8"?>
<calcChain xmlns="http://schemas.openxmlformats.org/spreadsheetml/2006/main">
  <c r="E39" i="4" l="1"/>
  <c r="T18" i="4"/>
  <c r="N16" i="4" s="1"/>
  <c r="U18" i="4"/>
  <c r="O16" i="4" s="1"/>
  <c r="S18" i="4"/>
  <c r="M16" i="4" s="1"/>
  <c r="T37" i="4"/>
  <c r="N35" i="4" s="1"/>
  <c r="U37" i="4"/>
  <c r="O35" i="4" s="1"/>
  <c r="S37" i="4"/>
  <c r="M35" i="4" s="1"/>
  <c r="E40" i="4" l="1"/>
  <c r="E43" i="4"/>
  <c r="E42" i="4"/>
  <c r="O34" i="4"/>
  <c r="N34" i="4"/>
  <c r="M34" i="4"/>
  <c r="O15" i="4"/>
  <c r="N15" i="4"/>
  <c r="M15" i="4"/>
  <c r="G24" i="4"/>
  <c r="G4" i="4"/>
  <c r="L24" i="4"/>
  <c r="L4" i="4"/>
  <c r="S30" i="4"/>
  <c r="M30" i="4" s="1"/>
  <c r="T30" i="4"/>
  <c r="N30" i="4" s="1"/>
  <c r="U30" i="4"/>
  <c r="S31" i="4"/>
  <c r="M31" i="4" s="1"/>
  <c r="T31" i="4"/>
  <c r="N31" i="4" s="1"/>
  <c r="U31" i="4"/>
  <c r="S32" i="4"/>
  <c r="M32" i="4" s="1"/>
  <c r="T32" i="4"/>
  <c r="N32" i="4" s="1"/>
  <c r="U32" i="4"/>
  <c r="S33" i="4"/>
  <c r="M33" i="4" s="1"/>
  <c r="T33" i="4"/>
  <c r="N33" i="4" s="1"/>
  <c r="U33" i="4"/>
  <c r="U29" i="4"/>
  <c r="T29" i="4"/>
  <c r="N29" i="4" s="1"/>
  <c r="S29" i="4"/>
  <c r="S10" i="4"/>
  <c r="T10" i="4"/>
  <c r="U10" i="4"/>
  <c r="R10" i="4" s="1"/>
  <c r="O10" i="4" s="1"/>
  <c r="S11" i="4"/>
  <c r="T11" i="4"/>
  <c r="U11" i="4"/>
  <c r="R11" i="4" s="1"/>
  <c r="O11" i="4" s="1"/>
  <c r="S12" i="4"/>
  <c r="T12" i="4"/>
  <c r="U12" i="4"/>
  <c r="R12" i="4" s="1"/>
  <c r="O12" i="4" s="1"/>
  <c r="S13" i="4"/>
  <c r="T13" i="4"/>
  <c r="U13" i="4"/>
  <c r="R13" i="4" s="1"/>
  <c r="O13" i="4" s="1"/>
  <c r="S14" i="4"/>
  <c r="T14" i="4"/>
  <c r="U14" i="4"/>
  <c r="R14" i="4" s="1"/>
  <c r="O14" i="4" s="1"/>
  <c r="U9" i="4"/>
  <c r="R9" i="4" s="1"/>
  <c r="O9" i="4" s="1"/>
  <c r="T9" i="4"/>
  <c r="S9" i="4"/>
  <c r="S35" i="4" l="1"/>
  <c r="U35" i="4"/>
  <c r="M29" i="4"/>
  <c r="R32" i="4"/>
  <c r="O32" i="4"/>
  <c r="R33" i="4"/>
  <c r="O33" i="4"/>
  <c r="R30" i="4"/>
  <c r="O30" i="4"/>
  <c r="R31" i="4"/>
  <c r="O31" i="4"/>
  <c r="R29" i="4"/>
  <c r="O29" i="4"/>
  <c r="U16" i="4"/>
  <c r="E45" i="4" l="1"/>
  <c r="E44" i="4"/>
  <c r="E41" i="4"/>
  <c r="Q33" i="4"/>
  <c r="P33" i="4"/>
  <c r="Q32" i="4"/>
  <c r="P32" i="4"/>
  <c r="Q31" i="4"/>
  <c r="P31" i="4"/>
  <c r="Q30" i="4"/>
  <c r="P30" i="4"/>
  <c r="Q29" i="4"/>
  <c r="P29" i="4"/>
  <c r="T35" i="4"/>
  <c r="F24" i="4"/>
  <c r="A17" i="4"/>
  <c r="Q14" i="4"/>
  <c r="N14" i="4" s="1"/>
  <c r="P14" i="4"/>
  <c r="M14" i="4" s="1"/>
  <c r="Q13" i="4"/>
  <c r="N13" i="4" s="1"/>
  <c r="P13" i="4"/>
  <c r="M13" i="4" s="1"/>
  <c r="Q12" i="4"/>
  <c r="N12" i="4" s="1"/>
  <c r="P12" i="4"/>
  <c r="M12" i="4" s="1"/>
  <c r="Q11" i="4"/>
  <c r="N11" i="4" s="1"/>
  <c r="P11" i="4"/>
  <c r="M11" i="4" s="1"/>
  <c r="Q10" i="4"/>
  <c r="N10" i="4" s="1"/>
  <c r="P10" i="4"/>
  <c r="M10" i="4" s="1"/>
  <c r="Q9" i="4"/>
  <c r="N9" i="4" s="1"/>
  <c r="P9" i="4"/>
  <c r="M9" i="4" s="1"/>
  <c r="T16" i="4"/>
  <c r="S16" i="4"/>
  <c r="F4" i="4"/>
  <c r="I40" i="4" l="1"/>
</calcChain>
</file>

<file path=xl/sharedStrings.xml><?xml version="1.0" encoding="utf-8"?>
<sst xmlns="http://schemas.openxmlformats.org/spreadsheetml/2006/main" count="173" uniqueCount="73">
  <si>
    <t>Energy Offer</t>
  </si>
  <si>
    <t>FIR NRF</t>
  </si>
  <si>
    <t>FIR Risk</t>
  </si>
  <si>
    <t>SIR Risk</t>
  </si>
  <si>
    <t xml:space="preserve">Min = </t>
  </si>
  <si>
    <t>Plant 1</t>
  </si>
  <si>
    <t>Plant 2</t>
  </si>
  <si>
    <t>Plant 3</t>
  </si>
  <si>
    <t>Plant 4</t>
  </si>
  <si>
    <t>Plant 5</t>
  </si>
  <si>
    <t>Plant 6</t>
  </si>
  <si>
    <t>Manual Risk</t>
  </si>
  <si>
    <t>NI</t>
  </si>
  <si>
    <t>Energy Cleared</t>
  </si>
  <si>
    <t>FIR Cleared</t>
  </si>
  <si>
    <t>SIR Cleared</t>
  </si>
  <si>
    <t>HVDC RampUp</t>
  </si>
  <si>
    <t>NI Total</t>
  </si>
  <si>
    <t>(MW)</t>
  </si>
  <si>
    <t>(1/0)</t>
  </si>
  <si>
    <t>($/MWh)</t>
  </si>
  <si>
    <t>SI</t>
  </si>
  <si>
    <t>SI Total</t>
  </si>
  <si>
    <t>FIR Vio Cost</t>
  </si>
  <si>
    <t>SIR Vio Cost</t>
  </si>
  <si>
    <t>Energy+FIR</t>
  </si>
  <si>
    <t>Energy+SIR</t>
  </si>
  <si>
    <t>Energy Cost</t>
  </si>
  <si>
    <t>Objective</t>
  </si>
  <si>
    <t>Island Risk</t>
  </si>
  <si>
    <t>Data cells</t>
  </si>
  <si>
    <t>Variables</t>
  </si>
  <si>
    <t>Cells with formulars (constraints)</t>
  </si>
  <si>
    <t>NI Island Risk Violation Penalty</t>
  </si>
  <si>
    <t>SI Island Risk Violation Penalty</t>
  </si>
  <si>
    <t>Joint Vio Cost</t>
  </si>
  <si>
    <t>NI Island Joint Violation Penalty</t>
  </si>
  <si>
    <t>SI Island Joint Violation Penalty</t>
  </si>
  <si>
    <t>Energy Deficit</t>
  </si>
  <si>
    <t>Voll</t>
  </si>
  <si>
    <t>Energy Violation Cost</t>
  </si>
  <si>
    <t>LIR Cleared</t>
  </si>
  <si>
    <t>Reserve factor</t>
  </si>
  <si>
    <t>Reserve Offer</t>
  </si>
  <si>
    <t>FIR</t>
  </si>
  <si>
    <t>SIR</t>
  </si>
  <si>
    <t>LIR</t>
  </si>
  <si>
    <t>LIR Risk</t>
  </si>
  <si>
    <t>Energy+LIR</t>
  </si>
  <si>
    <t>Capacity</t>
  </si>
  <si>
    <t>Reserve Cleared</t>
  </si>
  <si>
    <t>LIR Vio Cost</t>
  </si>
  <si>
    <t>Reserve Cost</t>
  </si>
  <si>
    <t>SIR NRF</t>
  </si>
  <si>
    <t>LIR_NFR</t>
  </si>
  <si>
    <t>Risk Viol</t>
  </si>
  <si>
    <t>Joint Viol</t>
  </si>
  <si>
    <t>HVDC Risk</t>
  </si>
  <si>
    <t>Reserve Share</t>
  </si>
  <si>
    <t>Reserve Received</t>
  </si>
  <si>
    <t>Using NMIR model</t>
  </si>
  <si>
    <t>Total Reserve</t>
  </si>
  <si>
    <t>Energy</t>
  </si>
  <si>
    <t>Reserve</t>
  </si>
  <si>
    <t xml:space="preserve">HVDC </t>
  </si>
  <si>
    <t>Load</t>
  </si>
  <si>
    <t>Risk</t>
  </si>
  <si>
    <t>No</t>
  </si>
  <si>
    <t>Max</t>
  </si>
  <si>
    <t>Effective</t>
  </si>
  <si>
    <t>Reserve Share 
Parameters</t>
  </si>
  <si>
    <t>Prices</t>
  </si>
  <si>
    <t>Cleared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</si>
</sst>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\ &quot;MW&quot;"/>
    <numFmt numFmtId="165" formatCode="&quot;$&quot;0.00"/>
    <numFmt numFmtId="166" formatCode="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6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theme="9" tint="-0.499984740745262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3" fillId="0" borderId="0"/>
  </cellStyleXfs>
  <cellXfs count="94">
    <xf numFmtId="0" fontId="0" fillId="0" borderId="0" xfId="0"/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2" fontId="1" fillId="2" borderId="4" xfId="0" applyNumberFormat="1" applyFont="1" applyFill="1" applyBorder="1" applyAlignment="1">
      <alignment horizontal="center" vertical="center"/>
    </xf>
    <xf numFmtId="165" fontId="11" fillId="5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2" fontId="0" fillId="6" borderId="0" xfId="1" applyNumberFormat="1" applyFont="1" applyFill="1" applyBorder="1" applyAlignment="1">
      <alignment horizontal="right" vertical="center"/>
    </xf>
    <xf numFmtId="0" fontId="9" fillId="6" borderId="0" xfId="0" applyFont="1" applyFill="1" applyAlignment="1">
      <alignment horizontal="right" vertical="center"/>
    </xf>
    <xf numFmtId="0" fontId="1" fillId="6" borderId="0" xfId="0" quotePrefix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6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2" fontId="9" fillId="6" borderId="0" xfId="2" applyNumberFormat="1" applyFont="1" applyFill="1" applyAlignment="1">
      <alignment horizontal="center" vertical="center"/>
    </xf>
    <xf numFmtId="166" fontId="1" fillId="4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7" fillId="6" borderId="0" xfId="0" applyFont="1" applyFill="1" applyAlignment="1">
      <alignment vertical="center"/>
    </xf>
    <xf numFmtId="0" fontId="1" fillId="6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right" vertical="center"/>
    </xf>
    <xf numFmtId="0" fontId="1" fillId="6" borderId="0" xfId="0" applyFont="1" applyFill="1" applyBorder="1" applyAlignment="1">
      <alignment vertical="center"/>
    </xf>
    <xf numFmtId="0" fontId="8" fillId="6" borderId="0" xfId="0" applyFont="1" applyFill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6" borderId="0" xfId="0" applyNumberFormat="1" applyFont="1" applyFill="1" applyBorder="1" applyAlignment="1">
      <alignment horizontal="center" vertical="center" textRotation="90"/>
    </xf>
    <xf numFmtId="0" fontId="15" fillId="6" borderId="0" xfId="0" applyFont="1" applyFill="1" applyAlignment="1">
      <alignment horizontal="center" vertical="center"/>
    </xf>
    <xf numFmtId="2" fontId="9" fillId="6" borderId="0" xfId="2" applyNumberFormat="1" applyFont="1" applyFill="1" applyAlignment="1">
      <alignment horizontal="left" vertical="center"/>
    </xf>
    <xf numFmtId="0" fontId="3" fillId="6" borderId="0" xfId="0" applyFont="1" applyFill="1" applyBorder="1" applyAlignment="1">
      <alignment horizontal="right" vertical="center"/>
    </xf>
    <xf numFmtId="0" fontId="3" fillId="6" borderId="10" xfId="0" applyFont="1" applyFill="1" applyBorder="1" applyAlignment="1">
      <alignment horizontal="right" vertical="center"/>
    </xf>
    <xf numFmtId="2" fontId="4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4" fillId="6" borderId="12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4" fillId="6" borderId="13" xfId="0" applyNumberFormat="1" applyFont="1" applyFill="1" applyBorder="1" applyAlignment="1">
      <alignment horizontal="center" vertical="center"/>
    </xf>
    <xf numFmtId="2" fontId="4" fillId="6" borderId="0" xfId="0" applyNumberFormat="1" applyFont="1" applyFill="1" applyBorder="1" applyAlignment="1">
      <alignment horizontal="center" vertical="center"/>
    </xf>
    <xf numFmtId="2" fontId="4" fillId="6" borderId="7" xfId="0" applyNumberFormat="1" applyFont="1" applyFill="1" applyBorder="1" applyAlignment="1">
      <alignment horizontal="center" vertical="center"/>
    </xf>
    <xf numFmtId="2" fontId="4" fillId="6" borderId="14" xfId="0" applyNumberFormat="1" applyFont="1" applyFill="1" applyBorder="1" applyAlignment="1">
      <alignment horizontal="center" vertical="center"/>
    </xf>
    <xf numFmtId="2" fontId="0" fillId="6" borderId="11" xfId="0" applyNumberFormat="1" applyFill="1" applyBorder="1" applyAlignment="1">
      <alignment horizontal="center" vertical="center"/>
    </xf>
    <xf numFmtId="2" fontId="4" fillId="6" borderId="11" xfId="0" applyNumberFormat="1" applyFont="1" applyFill="1" applyBorder="1" applyAlignment="1">
      <alignment horizontal="center" vertical="center"/>
    </xf>
    <xf numFmtId="2" fontId="4" fillId="6" borderId="15" xfId="0" applyNumberFormat="1" applyFont="1" applyFill="1" applyBorder="1" applyAlignment="1">
      <alignment horizontal="center" vertical="center"/>
    </xf>
    <xf numFmtId="2" fontId="4" fillId="6" borderId="9" xfId="0" applyNumberFormat="1" applyFont="1" applyFill="1" applyBorder="1" applyAlignment="1">
      <alignment horizontal="center" vertical="center"/>
    </xf>
    <xf numFmtId="2" fontId="0" fillId="0" borderId="16" xfId="0" applyNumberFormat="1" applyFont="1" applyBorder="1" applyAlignment="1">
      <alignment vertical="center"/>
    </xf>
    <xf numFmtId="2" fontId="0" fillId="0" borderId="17" xfId="0" applyNumberFormat="1" applyFont="1" applyBorder="1" applyAlignment="1">
      <alignment horizontal="center" vertical="center" wrapText="1"/>
    </xf>
    <xf numFmtId="2" fontId="0" fillId="0" borderId="18" xfId="0" applyNumberFormat="1" applyFont="1" applyBorder="1" applyAlignment="1">
      <alignment horizontal="center" vertical="center"/>
    </xf>
    <xf numFmtId="2" fontId="0" fillId="0" borderId="18" xfId="0" applyNumberFormat="1" applyFont="1" applyBorder="1" applyAlignment="1">
      <alignment horizontal="center" vertical="center"/>
    </xf>
    <xf numFmtId="2" fontId="0" fillId="0" borderId="19" xfId="0" applyNumberFormat="1" applyFont="1" applyBorder="1" applyAlignment="1">
      <alignment horizontal="center" vertical="center"/>
    </xf>
    <xf numFmtId="2" fontId="0" fillId="0" borderId="20" xfId="0" applyNumberFormat="1" applyFont="1" applyBorder="1" applyAlignment="1">
      <alignment horizontal="center" vertical="center"/>
    </xf>
    <xf numFmtId="2" fontId="0" fillId="0" borderId="21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2" fontId="4" fillId="6" borderId="6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4" fillId="6" borderId="23" xfId="0" applyNumberFormat="1" applyFont="1" applyFill="1" applyBorder="1" applyAlignment="1">
      <alignment horizontal="center" vertical="center"/>
    </xf>
    <xf numFmtId="2" fontId="4" fillId="6" borderId="8" xfId="0" applyNumberFormat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2" fontId="4" fillId="4" borderId="21" xfId="0" applyNumberFormat="1" applyFont="1" applyFill="1" applyBorder="1" applyAlignment="1">
      <alignment horizontal="center" vertical="center"/>
    </xf>
    <xf numFmtId="2" fontId="0" fillId="0" borderId="24" xfId="0" applyNumberFormat="1" applyFont="1" applyBorder="1" applyAlignment="1">
      <alignment vertical="center"/>
    </xf>
    <xf numFmtId="0" fontId="1" fillId="4" borderId="19" xfId="0" applyFont="1" applyFill="1" applyBorder="1" applyAlignment="1">
      <alignment horizontal="center" vertical="center"/>
    </xf>
    <xf numFmtId="2" fontId="4" fillId="2" borderId="25" xfId="0" applyNumberFormat="1" applyFont="1" applyFill="1" applyBorder="1" applyAlignment="1">
      <alignment horizontal="center" vertical="center"/>
    </xf>
    <xf numFmtId="2" fontId="4" fillId="4" borderId="22" xfId="0" applyNumberFormat="1" applyFon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left" vertical="center"/>
    </xf>
    <xf numFmtId="2" fontId="0" fillId="0" borderId="19" xfId="0" applyNumberFormat="1" applyFill="1" applyBorder="1" applyAlignment="1">
      <alignment horizontal="center" vertical="center"/>
    </xf>
    <xf numFmtId="2" fontId="0" fillId="0" borderId="26" xfId="0" applyNumberFormat="1" applyFill="1" applyBorder="1" applyAlignment="1">
      <alignment horizontal="left" vertical="center"/>
    </xf>
    <xf numFmtId="2" fontId="0" fillId="0" borderId="25" xfId="0" applyNumberFormat="1" applyFill="1" applyBorder="1" applyAlignment="1">
      <alignment horizontal="center" vertical="center"/>
    </xf>
    <xf numFmtId="2" fontId="0" fillId="0" borderId="20" xfId="0" applyNumberFormat="1" applyFill="1" applyBorder="1" applyAlignment="1">
      <alignment horizontal="left" vertical="center"/>
    </xf>
    <xf numFmtId="2" fontId="0" fillId="0" borderId="22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0" xfId="0" applyFill="1"/>
  </cellXfs>
  <cellStyles count="4">
    <cellStyle name="Comma" xfId="1" builtinId="3"/>
    <cellStyle name="Currency" xfId="2" builtinId="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188747</xdr:colOff>
      <xdr:row>12</xdr:row>
      <xdr:rowOff>40292</xdr:rowOff>
    </xdr:from>
    <xdr:to>
      <xdr:col>1</xdr:col>
      <xdr:colOff>189371</xdr:colOff>
      <xdr:row>27</xdr:row>
      <xdr:rowOff>87134</xdr:rowOff>
    </xdr:to>
    <xdr:cxnSp macro="">
      <xdr:nvCxnSpPr>
        <xdr:cNvPr id="3" name="Straight Connector 2"/>
        <xdr:cNvCxnSpPr/>
      </xdr:nvCxnSpPr>
      <xdr:spPr>
        <a:xfrm flipH="1">
          <a:off x="995571" y="2124586"/>
          <a:ext cx="624" cy="2590577"/>
        </a:xfrm>
        <a:prstGeom prst="line">
          <a:avLst/>
        </a:prstGeom>
        <a:ln w="41275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838208</xdr:colOff>
      <xdr:row>4</xdr:row>
      <xdr:rowOff>47912</xdr:rowOff>
    </xdr:from>
    <xdr:to>
      <xdr:col>1</xdr:col>
      <xdr:colOff>434283</xdr:colOff>
      <xdr:row>12</xdr:row>
      <xdr:rowOff>40292</xdr:rowOff>
    </xdr:to>
    <xdr:sp macro="" textlink="">
      <xdr:nvSpPr>
        <xdr:cNvPr id="2" name="TextBox 1"/>
        <xdr:cNvSpPr txBox="1"/>
      </xdr:nvSpPr>
      <xdr:spPr>
        <a:xfrm>
          <a:off x="838208" y="596552"/>
          <a:ext cx="868615" cy="1455420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NZ" sz="2000"/>
            <a:t>North Island</a:t>
          </a:r>
        </a:p>
      </xdr:txBody>
    </xdr:sp>
    <xdr:clientData/>
  </xdr:twoCellAnchor>
  <xdr:twoCellAnchor>
    <xdr:from>
      <xdr:col>0</xdr:col>
      <xdr:colOff>807728</xdr:colOff>
      <xdr:row>27</xdr:row>
      <xdr:rowOff>87134</xdr:rowOff>
    </xdr:from>
    <xdr:to>
      <xdr:col>1</xdr:col>
      <xdr:colOff>403803</xdr:colOff>
      <xdr:row>35</xdr:row>
      <xdr:rowOff>41349</xdr:rowOff>
    </xdr:to>
    <xdr:sp macro="" textlink="">
      <xdr:nvSpPr>
        <xdr:cNvPr id="4" name="TextBox 3"/>
        <xdr:cNvSpPr txBox="1"/>
      </xdr:nvSpPr>
      <xdr:spPr>
        <a:xfrm>
          <a:off x="807728" y="4529594"/>
          <a:ext cx="868615" cy="1455355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NZ" sz="2000"/>
            <a:t>South Island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42</xdr:row>
          <xdr:rowOff>38100</xdr:rowOff>
        </xdr:from>
        <xdr:to>
          <xdr:col>14</xdr:col>
          <xdr:colOff>419100</xdr:colOff>
          <xdr:row>44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Z" sz="2600" b="1" i="0" u="none" strike="noStrike" baseline="0">
                  <a:solidFill>
                    <a:srgbClr val="000000"/>
                  </a:solidFill>
                  <a:latin typeface="Calibri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42</xdr:row>
          <xdr:rowOff>76200</xdr:rowOff>
        </xdr:from>
        <xdr:to>
          <xdr:col>10</xdr:col>
          <xdr:colOff>57150</xdr:colOff>
          <xdr:row>44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Z" sz="2600" b="1" i="0" u="none" strike="noStrike" baseline="0">
                  <a:solidFill>
                    <a:srgbClr val="000000"/>
                  </a:solidFill>
                  <a:latin typeface="Calibri"/>
                </a:rPr>
                <a:t>Reset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F159"/>
  <sheetViews>
    <sheetView tabSelected="1" zoomScale="85" zoomScaleNormal="85" workbookViewId="0">
      <selection activeCell="W44" sqref="W44"/>
    </sheetView>
  </sheetViews>
  <sheetFormatPr defaultColWidth="0" defaultRowHeight="0" customHeight="1" zeroHeight="1" x14ac:dyDescent="0.25"/>
  <cols>
    <col min="1" max="1" width="8.5703125" style="1" customWidth="1"/>
    <col min="2" max="2" width="10.85546875" style="1" customWidth="1"/>
    <col min="3" max="3" width="13.5703125" style="1" bestFit="1" customWidth="1"/>
    <col min="4" max="4" width="9.28515625" style="1" bestFit="1" customWidth="1"/>
    <col min="5" max="5" width="9.7109375" style="1" bestFit="1" customWidth="1"/>
    <col min="6" max="7" width="12" style="1" customWidth="1"/>
    <col min="8" max="8" width="8.42578125" style="1" bestFit="1" customWidth="1"/>
    <col min="9" max="9" width="9.85546875" style="1" customWidth="1"/>
    <col min="10" max="10" width="7.85546875" style="1" customWidth="1"/>
    <col min="11" max="11" width="7.7109375" style="1" bestFit="1" customWidth="1"/>
    <col min="12" max="12" width="11.7109375" style="1" bestFit="1" customWidth="1"/>
    <col min="13" max="14" width="8.42578125" style="1" bestFit="1" customWidth="1"/>
    <col min="15" max="15" width="8.7109375" style="1" bestFit="1" customWidth="1"/>
    <col min="16" max="17" width="10.85546875" style="1" bestFit="1" customWidth="1"/>
    <col min="18" max="18" width="13.7109375" style="1" bestFit="1" customWidth="1"/>
    <col min="19" max="19" width="14.42578125" style="1" bestFit="1" customWidth="1"/>
    <col min="20" max="20" width="13.7109375" style="1" bestFit="1" customWidth="1"/>
    <col min="21" max="21" width="14.5703125" style="1" customWidth="1"/>
    <col min="22" max="22" width="14.7109375" style="1" bestFit="1" customWidth="1"/>
    <col min="23" max="23" width="16.140625" style="1" bestFit="1" customWidth="1"/>
    <col min="24" max="24" width="4.28515625" style="1" customWidth="1"/>
    <col min="25" max="26" width="13.5703125" style="24" hidden="1" customWidth="1"/>
    <col min="27" max="28" width="8.85546875" style="24" hidden="1" customWidth="1"/>
    <col min="29" max="29" width="4.85546875" style="24" hidden="1" customWidth="1"/>
    <col min="30" max="40" width="8.85546875" style="24" hidden="1" customWidth="1"/>
    <col min="41" max="77" width="8.85546875" style="22" hidden="1" customWidth="1"/>
    <col min="78" max="79" width="8.85546875" hidden="1" customWidth="1"/>
    <col min="80" max="80" width="13.28515625" style="22" hidden="1" customWidth="1"/>
    <col min="81" max="81" width="10.85546875" hidden="1" customWidth="1"/>
    <col min="82" max="82" width="0" hidden="1" customWidth="1"/>
    <col min="83" max="84" width="0" style="22" hidden="1" customWidth="1"/>
    <col min="85" max="16384" width="8.85546875" style="22" hidden="1"/>
  </cols>
  <sheetData>
    <row r="1" spans="1:82" s="24" customFormat="1" ht="15" x14ac:dyDescent="0.25">
      <c r="BZ1" s="93"/>
      <c r="CA1" s="93"/>
      <c r="CC1"/>
      <c r="CD1"/>
    </row>
    <row r="2" spans="1:82" ht="15" x14ac:dyDescent="0.25">
      <c r="A2" s="24"/>
      <c r="B2" s="24"/>
      <c r="C2" s="24"/>
      <c r="D2" s="24"/>
      <c r="E2" s="24"/>
      <c r="F2" s="92" t="s">
        <v>72</v>
      </c>
      <c r="G2" s="92"/>
      <c r="H2" s="92"/>
      <c r="I2" s="92"/>
      <c r="J2" s="92"/>
      <c r="K2" s="92" t="s">
        <v>71</v>
      </c>
      <c r="L2" s="92"/>
      <c r="M2" s="92"/>
      <c r="N2" s="92"/>
      <c r="O2" s="92"/>
      <c r="P2" s="24"/>
      <c r="Q2" s="26"/>
      <c r="R2" s="24"/>
      <c r="S2" s="24"/>
      <c r="T2" s="24"/>
      <c r="U2" s="24"/>
      <c r="V2" s="24"/>
      <c r="W2" s="24"/>
      <c r="X2" s="24"/>
    </row>
    <row r="3" spans="1:82" ht="14.45" customHeight="1" x14ac:dyDescent="0.25">
      <c r="A3" s="24"/>
      <c r="B3" s="24"/>
      <c r="C3" s="45" t="s">
        <v>17</v>
      </c>
      <c r="D3" s="4" t="s">
        <v>65</v>
      </c>
      <c r="E3" s="33" t="s">
        <v>64</v>
      </c>
      <c r="F3" s="4" t="s">
        <v>62</v>
      </c>
      <c r="G3" s="4" t="s">
        <v>63</v>
      </c>
      <c r="H3" s="4" t="s">
        <v>44</v>
      </c>
      <c r="I3" s="4" t="s">
        <v>45</v>
      </c>
      <c r="J3" s="4" t="s">
        <v>46</v>
      </c>
      <c r="K3" s="12" t="s">
        <v>62</v>
      </c>
      <c r="L3" s="12" t="s">
        <v>63</v>
      </c>
      <c r="M3" s="12" t="s">
        <v>44</v>
      </c>
      <c r="N3" s="12" t="s">
        <v>45</v>
      </c>
      <c r="O3" s="12" t="s">
        <v>46</v>
      </c>
      <c r="P3" s="4" t="s">
        <v>1</v>
      </c>
      <c r="Q3" s="4" t="s">
        <v>53</v>
      </c>
      <c r="R3" s="4" t="s">
        <v>54</v>
      </c>
      <c r="S3" s="4" t="s">
        <v>11</v>
      </c>
      <c r="T3" s="4" t="s">
        <v>16</v>
      </c>
      <c r="U3" s="33" t="s">
        <v>38</v>
      </c>
      <c r="V3" s="4" t="s">
        <v>39</v>
      </c>
      <c r="W3" s="24"/>
      <c r="X3" s="24"/>
      <c r="BZ3" s="22"/>
      <c r="CA3" s="22"/>
      <c r="CB3"/>
    </row>
    <row r="4" spans="1:82" ht="14.45" customHeight="1" x14ac:dyDescent="0.25">
      <c r="A4" s="24"/>
      <c r="B4" s="24"/>
      <c r="C4" s="45"/>
      <c r="D4" s="2">
        <v>2001</v>
      </c>
      <c r="E4" s="14">
        <v>750</v>
      </c>
      <c r="F4" s="37">
        <f>SUM(NI_Energy_Cleared)-DC_South+DC_North+NI_Deficit</f>
        <v>2001</v>
      </c>
      <c r="G4" s="3">
        <f>SUM(NI_Reserve_Cleared)</f>
        <v>188.001</v>
      </c>
      <c r="H4" s="20">
        <v>133.001</v>
      </c>
      <c r="I4" s="20">
        <v>168.001</v>
      </c>
      <c r="J4" s="20">
        <v>150</v>
      </c>
      <c r="K4" s="19">
        <v>0</v>
      </c>
      <c r="L4" s="19">
        <f>SUM(M4:O4)</f>
        <v>1050.5149200000001</v>
      </c>
      <c r="M4" s="19">
        <v>549.50491999999997</v>
      </c>
      <c r="N4" s="19">
        <v>501.01</v>
      </c>
      <c r="O4" s="19">
        <v>0</v>
      </c>
      <c r="P4" s="4">
        <v>16.998999999999999</v>
      </c>
      <c r="Q4" s="4">
        <v>0</v>
      </c>
      <c r="R4" s="4">
        <v>0</v>
      </c>
      <c r="S4" s="4">
        <v>120</v>
      </c>
      <c r="T4" s="4">
        <v>600</v>
      </c>
      <c r="U4" s="14">
        <v>0</v>
      </c>
      <c r="V4" s="38">
        <v>10000</v>
      </c>
      <c r="W4" s="24"/>
      <c r="X4" s="24"/>
      <c r="BZ4" s="22"/>
      <c r="CA4" s="22"/>
      <c r="CB4"/>
    </row>
    <row r="5" spans="1:82" ht="1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6"/>
      <c r="O5" s="26"/>
      <c r="P5" s="24"/>
      <c r="Q5" s="26"/>
      <c r="R5" s="24"/>
      <c r="S5" s="24"/>
      <c r="T5" s="24"/>
      <c r="U5" s="24"/>
      <c r="V5" s="24"/>
      <c r="W5" s="24"/>
      <c r="X5" s="24"/>
    </row>
    <row r="6" spans="1:82" ht="15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</row>
    <row r="7" spans="1:82" ht="15" x14ac:dyDescent="0.25">
      <c r="A7" s="24"/>
      <c r="B7" s="24"/>
      <c r="C7" s="46" t="s">
        <v>12</v>
      </c>
      <c r="D7" s="32" t="s">
        <v>49</v>
      </c>
      <c r="E7" s="9" t="s">
        <v>66</v>
      </c>
      <c r="F7" s="48" t="s">
        <v>0</v>
      </c>
      <c r="G7" s="48"/>
      <c r="H7" s="48" t="s">
        <v>43</v>
      </c>
      <c r="I7" s="48"/>
      <c r="J7" s="48" t="s">
        <v>42</v>
      </c>
      <c r="K7" s="48"/>
      <c r="L7" s="48"/>
      <c r="M7" s="32" t="s">
        <v>2</v>
      </c>
      <c r="N7" s="32" t="s">
        <v>3</v>
      </c>
      <c r="O7" s="35" t="s">
        <v>47</v>
      </c>
      <c r="P7" s="32" t="s">
        <v>25</v>
      </c>
      <c r="Q7" s="32" t="s">
        <v>26</v>
      </c>
      <c r="R7" s="35" t="s">
        <v>48</v>
      </c>
      <c r="S7" s="32" t="s">
        <v>14</v>
      </c>
      <c r="T7" s="32" t="s">
        <v>15</v>
      </c>
      <c r="U7" s="35" t="s">
        <v>41</v>
      </c>
      <c r="V7" s="32" t="s">
        <v>13</v>
      </c>
      <c r="W7" s="35" t="s">
        <v>50</v>
      </c>
      <c r="X7" s="24"/>
      <c r="BZ7" s="22"/>
      <c r="CB7"/>
    </row>
    <row r="8" spans="1:82" s="23" customFormat="1" ht="15" x14ac:dyDescent="0.25">
      <c r="A8" s="25"/>
      <c r="B8" s="25"/>
      <c r="C8" s="47"/>
      <c r="D8" s="7" t="s">
        <v>18</v>
      </c>
      <c r="E8" s="8" t="s">
        <v>19</v>
      </c>
      <c r="F8" s="7" t="s">
        <v>18</v>
      </c>
      <c r="G8" s="7" t="s">
        <v>20</v>
      </c>
      <c r="H8" s="7" t="s">
        <v>18</v>
      </c>
      <c r="I8" s="7" t="s">
        <v>20</v>
      </c>
      <c r="J8" s="7" t="s">
        <v>44</v>
      </c>
      <c r="K8" s="7" t="s">
        <v>45</v>
      </c>
      <c r="L8" s="7" t="s">
        <v>46</v>
      </c>
      <c r="M8" s="7" t="s">
        <v>18</v>
      </c>
      <c r="N8" s="7" t="s">
        <v>18</v>
      </c>
      <c r="O8" s="7" t="s">
        <v>18</v>
      </c>
      <c r="P8" s="7" t="s">
        <v>18</v>
      </c>
      <c r="Q8" s="7" t="s">
        <v>18</v>
      </c>
      <c r="R8" s="7" t="s">
        <v>18</v>
      </c>
      <c r="S8" s="7" t="s">
        <v>18</v>
      </c>
      <c r="T8" s="7" t="s">
        <v>18</v>
      </c>
      <c r="U8" s="7" t="s">
        <v>18</v>
      </c>
      <c r="V8" s="7" t="s">
        <v>18</v>
      </c>
      <c r="W8" s="7" t="s">
        <v>18</v>
      </c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CA8"/>
      <c r="CB8"/>
      <c r="CC8"/>
      <c r="CD8"/>
    </row>
    <row r="9" spans="1:82" ht="15" x14ac:dyDescent="0.25">
      <c r="A9" s="24"/>
      <c r="B9" s="24"/>
      <c r="C9" s="4" t="s">
        <v>5</v>
      </c>
      <c r="D9" s="5">
        <v>400</v>
      </c>
      <c r="E9" s="5">
        <v>1</v>
      </c>
      <c r="F9" s="5">
        <v>350</v>
      </c>
      <c r="G9" s="5">
        <v>100.01</v>
      </c>
      <c r="H9" s="5">
        <v>200</v>
      </c>
      <c r="I9" s="5">
        <v>1.01</v>
      </c>
      <c r="J9" s="5">
        <v>1</v>
      </c>
      <c r="K9" s="5">
        <v>1</v>
      </c>
      <c r="L9" s="5">
        <v>0</v>
      </c>
      <c r="M9" s="11">
        <f>$E9*(P9-NI_NFR_FIR-NI_Violation_FIR-S$18)</f>
        <v>133.001</v>
      </c>
      <c r="N9" s="11">
        <f>$E9*(Q9-NI_NFR_SIR-NI_Violation_SIR-T$18)</f>
        <v>150</v>
      </c>
      <c r="O9" s="11">
        <f>$E9*(R9-NI_NFR_LIR-NI_Violation_LIR-U$18)</f>
        <v>111.999</v>
      </c>
      <c r="P9" s="11">
        <f t="shared" ref="P9:P14" si="0">V9+S9</f>
        <v>150</v>
      </c>
      <c r="Q9" s="11">
        <f t="shared" ref="Q9:Q14" si="1">V9+T9</f>
        <v>150</v>
      </c>
      <c r="R9" s="11">
        <f>U9+V9</f>
        <v>111.999</v>
      </c>
      <c r="S9" s="11">
        <f>W9*J9</f>
        <v>38.000999999999998</v>
      </c>
      <c r="T9" s="11">
        <f>W9*K9</f>
        <v>38.000999999999998</v>
      </c>
      <c r="U9" s="11">
        <f>W9*L9</f>
        <v>0</v>
      </c>
      <c r="V9" s="6">
        <v>111.999</v>
      </c>
      <c r="W9" s="6">
        <v>38.000999999999998</v>
      </c>
      <c r="X9" s="24"/>
      <c r="BZ9" s="22"/>
      <c r="CB9"/>
    </row>
    <row r="10" spans="1:82" ht="15" x14ac:dyDescent="0.25">
      <c r="A10" s="24"/>
      <c r="B10" s="24"/>
      <c r="C10" s="4" t="s">
        <v>6</v>
      </c>
      <c r="D10" s="5">
        <v>400</v>
      </c>
      <c r="E10" s="5">
        <v>1</v>
      </c>
      <c r="F10" s="5">
        <v>350</v>
      </c>
      <c r="G10" s="5">
        <v>200.01</v>
      </c>
      <c r="H10" s="5">
        <v>20</v>
      </c>
      <c r="I10" s="5">
        <v>2.0099999999999998</v>
      </c>
      <c r="J10" s="5">
        <v>0.9</v>
      </c>
      <c r="K10" s="5">
        <v>0</v>
      </c>
      <c r="L10" s="5">
        <v>1</v>
      </c>
      <c r="M10" s="11">
        <f>$E10*(P10-NI_NFR_FIR-NI_Violation_FIR-S$18)</f>
        <v>131.001</v>
      </c>
      <c r="N10" s="11">
        <f>$E10*(Q10-NI_NFR_SIR-NI_Violation_SIR-T$18)</f>
        <v>130</v>
      </c>
      <c r="O10" s="11">
        <f>$E10*(R10-NI_NFR_LIR-NI_Violation_LIR-U$18)</f>
        <v>150</v>
      </c>
      <c r="P10" s="11">
        <f t="shared" si="0"/>
        <v>148</v>
      </c>
      <c r="Q10" s="11">
        <f t="shared" si="1"/>
        <v>130</v>
      </c>
      <c r="R10" s="11">
        <f t="shared" ref="R10:R14" si="2">U10+V10</f>
        <v>150</v>
      </c>
      <c r="S10" s="11">
        <f t="shared" ref="S10:S14" si="3">W10*J10</f>
        <v>18</v>
      </c>
      <c r="T10" s="11">
        <f t="shared" ref="T10:T14" si="4">W10*K10</f>
        <v>0</v>
      </c>
      <c r="U10" s="11">
        <f t="shared" ref="U10:U14" si="5">W10*L10</f>
        <v>20</v>
      </c>
      <c r="V10" s="6">
        <v>130</v>
      </c>
      <c r="W10" s="6">
        <v>20</v>
      </c>
      <c r="X10" s="24"/>
      <c r="BZ10" s="22"/>
      <c r="CB10"/>
    </row>
    <row r="11" spans="1:82" ht="15" x14ac:dyDescent="0.25">
      <c r="A11" s="24"/>
      <c r="B11" s="24"/>
      <c r="C11" s="4" t="s">
        <v>7</v>
      </c>
      <c r="D11" s="5">
        <v>400</v>
      </c>
      <c r="E11" s="5">
        <v>1</v>
      </c>
      <c r="F11" s="5">
        <v>350</v>
      </c>
      <c r="G11" s="5">
        <v>300.01</v>
      </c>
      <c r="H11" s="5">
        <v>20</v>
      </c>
      <c r="I11" s="5">
        <v>3.01</v>
      </c>
      <c r="J11" s="5">
        <v>0.8</v>
      </c>
      <c r="K11" s="5">
        <v>1</v>
      </c>
      <c r="L11" s="5">
        <v>1</v>
      </c>
      <c r="M11" s="11">
        <f>$E11*(P11-NI_NFR_FIR-NI_Violation_FIR-S$18)</f>
        <v>129.001</v>
      </c>
      <c r="N11" s="11">
        <f>$E11*(Q11-NI_NFR_SIR-NI_Violation_SIR-T$18)</f>
        <v>150</v>
      </c>
      <c r="O11" s="11">
        <f>$E11*(R11-NI_NFR_LIR-NI_Violation_LIR-U$18)</f>
        <v>150</v>
      </c>
      <c r="P11" s="11">
        <f t="shared" si="0"/>
        <v>146</v>
      </c>
      <c r="Q11" s="11">
        <f t="shared" si="1"/>
        <v>150</v>
      </c>
      <c r="R11" s="11">
        <f t="shared" si="2"/>
        <v>150</v>
      </c>
      <c r="S11" s="11">
        <f t="shared" si="3"/>
        <v>16</v>
      </c>
      <c r="T11" s="11">
        <f t="shared" si="4"/>
        <v>20</v>
      </c>
      <c r="U11" s="11">
        <f t="shared" si="5"/>
        <v>20</v>
      </c>
      <c r="V11" s="6">
        <v>130</v>
      </c>
      <c r="W11" s="6">
        <v>20</v>
      </c>
      <c r="X11" s="24"/>
      <c r="BZ11" s="22"/>
      <c r="CB11"/>
    </row>
    <row r="12" spans="1:82" ht="15" x14ac:dyDescent="0.25">
      <c r="A12" s="24"/>
      <c r="B12" s="24"/>
      <c r="C12" s="4" t="s">
        <v>8</v>
      </c>
      <c r="D12" s="5">
        <v>400</v>
      </c>
      <c r="E12" s="5">
        <v>0</v>
      </c>
      <c r="F12" s="5">
        <v>350</v>
      </c>
      <c r="G12" s="5">
        <v>400.01</v>
      </c>
      <c r="H12" s="5">
        <v>20</v>
      </c>
      <c r="I12" s="5">
        <v>4.01</v>
      </c>
      <c r="J12" s="5">
        <v>0.7</v>
      </c>
      <c r="K12" s="5">
        <v>1</v>
      </c>
      <c r="L12" s="5">
        <v>1</v>
      </c>
      <c r="M12" s="11">
        <f>$E12*(P12-NI_NFR_FIR-NI_Violation_FIR-S$18)</f>
        <v>0</v>
      </c>
      <c r="N12" s="11">
        <f>$E12*(Q12-NI_NFR_SIR-NI_Violation_SIR-T$18)</f>
        <v>0</v>
      </c>
      <c r="O12" s="11">
        <f>$E12*(R12-NI_NFR_LIR-NI_Violation_LIR-U$18)</f>
        <v>0</v>
      </c>
      <c r="P12" s="11">
        <f t="shared" si="0"/>
        <v>364</v>
      </c>
      <c r="Q12" s="11">
        <f t="shared" si="1"/>
        <v>370</v>
      </c>
      <c r="R12" s="11">
        <f t="shared" si="2"/>
        <v>370</v>
      </c>
      <c r="S12" s="11">
        <f t="shared" si="3"/>
        <v>14</v>
      </c>
      <c r="T12" s="11">
        <f t="shared" si="4"/>
        <v>20</v>
      </c>
      <c r="U12" s="11">
        <f t="shared" si="5"/>
        <v>20</v>
      </c>
      <c r="V12" s="6">
        <v>350</v>
      </c>
      <c r="W12" s="6">
        <v>20</v>
      </c>
      <c r="X12" s="24"/>
      <c r="BZ12" s="22"/>
      <c r="CB12"/>
    </row>
    <row r="13" spans="1:82" ht="15" x14ac:dyDescent="0.25">
      <c r="A13" s="24"/>
      <c r="B13" s="24"/>
      <c r="C13" s="4" t="s">
        <v>9</v>
      </c>
      <c r="D13" s="5">
        <v>400</v>
      </c>
      <c r="E13" s="5">
        <v>0</v>
      </c>
      <c r="F13" s="5">
        <v>350</v>
      </c>
      <c r="G13" s="5">
        <v>500.01</v>
      </c>
      <c r="H13" s="5">
        <v>20</v>
      </c>
      <c r="I13" s="5">
        <v>5.01</v>
      </c>
      <c r="J13" s="5">
        <v>0.6</v>
      </c>
      <c r="K13" s="5">
        <v>1</v>
      </c>
      <c r="L13" s="5">
        <v>1</v>
      </c>
      <c r="M13" s="11">
        <f>$E13*(P13-NI_NFR_FIR-NI_Violation_FIR-S$18)</f>
        <v>0</v>
      </c>
      <c r="N13" s="11">
        <f>$E13*(Q13-NI_NFR_SIR-NI_Violation_SIR-T$18)</f>
        <v>0</v>
      </c>
      <c r="O13" s="11">
        <f>$E13*(R13-NI_NFR_LIR-NI_Violation_LIR-U$18)</f>
        <v>0</v>
      </c>
      <c r="P13" s="11">
        <f t="shared" si="0"/>
        <v>362</v>
      </c>
      <c r="Q13" s="11">
        <f t="shared" si="1"/>
        <v>370</v>
      </c>
      <c r="R13" s="11">
        <f t="shared" si="2"/>
        <v>370</v>
      </c>
      <c r="S13" s="11">
        <f t="shared" si="3"/>
        <v>12</v>
      </c>
      <c r="T13" s="11">
        <f t="shared" si="4"/>
        <v>20</v>
      </c>
      <c r="U13" s="11">
        <f t="shared" si="5"/>
        <v>20</v>
      </c>
      <c r="V13" s="6">
        <v>350</v>
      </c>
      <c r="W13" s="6">
        <v>20</v>
      </c>
      <c r="X13" s="24"/>
      <c r="BZ13" s="22"/>
      <c r="CB13"/>
    </row>
    <row r="14" spans="1:82" ht="15.75" thickBot="1" x14ac:dyDescent="0.3">
      <c r="A14" s="24"/>
      <c r="B14" s="24"/>
      <c r="C14" s="55" t="s">
        <v>10</v>
      </c>
      <c r="D14" s="54">
        <v>400</v>
      </c>
      <c r="E14" s="54">
        <v>0</v>
      </c>
      <c r="F14" s="54">
        <v>250</v>
      </c>
      <c r="G14" s="54">
        <v>600.01</v>
      </c>
      <c r="H14" s="54">
        <v>1000</v>
      </c>
      <c r="I14" s="54">
        <v>1000</v>
      </c>
      <c r="J14" s="54">
        <v>0.5</v>
      </c>
      <c r="K14" s="54">
        <v>1</v>
      </c>
      <c r="L14" s="5">
        <v>1</v>
      </c>
      <c r="M14" s="11">
        <f>$E14*(P14-NI_NFR_FIR-NI_Violation_FIR-S$18)</f>
        <v>0</v>
      </c>
      <c r="N14" s="11">
        <f>$E14*(Q14-NI_NFR_SIR-NI_Violation_SIR-T$18)</f>
        <v>0</v>
      </c>
      <c r="O14" s="11">
        <f>$E14*(R14-NI_NFR_LIR-NI_Violation_LIR-U$18)</f>
        <v>0</v>
      </c>
      <c r="P14" s="11">
        <f t="shared" si="0"/>
        <v>214.001</v>
      </c>
      <c r="Q14" s="11">
        <f t="shared" si="1"/>
        <v>249.001</v>
      </c>
      <c r="R14" s="11">
        <f t="shared" si="2"/>
        <v>249.001</v>
      </c>
      <c r="S14" s="11">
        <f t="shared" si="3"/>
        <v>35</v>
      </c>
      <c r="T14" s="11">
        <f t="shared" si="4"/>
        <v>70</v>
      </c>
      <c r="U14" s="11">
        <f t="shared" si="5"/>
        <v>70</v>
      </c>
      <c r="V14" s="6">
        <v>179.001</v>
      </c>
      <c r="W14" s="6">
        <v>70</v>
      </c>
      <c r="X14" s="24"/>
      <c r="BZ14" s="22"/>
      <c r="CB14"/>
    </row>
    <row r="15" spans="1:82" ht="16.5" thickTop="1" thickBot="1" x14ac:dyDescent="0.3">
      <c r="A15" s="24"/>
      <c r="B15" s="24"/>
      <c r="C15" s="86" t="s">
        <v>23</v>
      </c>
      <c r="D15" s="87">
        <v>1500</v>
      </c>
      <c r="E15" s="75"/>
      <c r="F15" s="76"/>
      <c r="G15" s="76"/>
      <c r="H15" s="76"/>
      <c r="I15" s="76"/>
      <c r="J15" s="58"/>
      <c r="K15" s="60"/>
      <c r="L15" s="13" t="s">
        <v>57</v>
      </c>
      <c r="M15" s="16">
        <f>DC_North-NI_DC_RampUp-NI_NFR_FIR-NI_Violation_FIR</f>
        <v>133.001</v>
      </c>
      <c r="N15" s="16">
        <f>DC_North-NI_DC_RampUp-NI_NFR_SIR-NI_Violation_SIR</f>
        <v>150</v>
      </c>
      <c r="O15" s="16">
        <f>DC_North-NI_DC_RampUp-NI_NFR_LIR-NI_Violation_LIR</f>
        <v>150</v>
      </c>
      <c r="P15" s="58"/>
      <c r="Q15" s="58"/>
      <c r="R15" s="62"/>
      <c r="S15" s="63"/>
      <c r="T15" s="63"/>
      <c r="U15" s="62"/>
      <c r="V15" s="58"/>
      <c r="W15" s="60"/>
      <c r="X15" s="24"/>
      <c r="BZ15" s="22"/>
      <c r="CB15"/>
    </row>
    <row r="16" spans="1:82" ht="16.5" customHeight="1" thickTop="1" thickBot="1" x14ac:dyDescent="0.3">
      <c r="B16" s="24"/>
      <c r="C16" s="88" t="s">
        <v>24</v>
      </c>
      <c r="D16" s="89">
        <v>1500</v>
      </c>
      <c r="E16" s="77"/>
      <c r="F16" s="67" t="s">
        <v>70</v>
      </c>
      <c r="G16" s="68"/>
      <c r="H16" s="69" t="s">
        <v>68</v>
      </c>
      <c r="I16" s="70" t="s">
        <v>69</v>
      </c>
      <c r="J16" s="59"/>
      <c r="K16" s="64"/>
      <c r="L16" s="13" t="s">
        <v>11</v>
      </c>
      <c r="M16" s="16">
        <f>NI_ManualRisk-NI_NFR_FIR-NI_Violation_FIR-S18</f>
        <v>103.001</v>
      </c>
      <c r="N16" s="16">
        <f>NI_ManualRisk-NI_NFR_SIR-NI_Violation_SIR-T18</f>
        <v>120</v>
      </c>
      <c r="O16" s="16">
        <f>NI_ManualRisk-NI_NFR_LIR-NI_Violation_LIR-U18</f>
        <v>120</v>
      </c>
      <c r="P16" s="57"/>
      <c r="Q16" s="59"/>
      <c r="R16" s="17" t="s">
        <v>61</v>
      </c>
      <c r="S16" s="80">
        <f>SUM(NI_FIR_Cleared)</f>
        <v>133.001</v>
      </c>
      <c r="T16" s="80">
        <f>SUM(NI_SIR_Cleared)</f>
        <v>168.001</v>
      </c>
      <c r="U16" s="83">
        <f>SUM(NI_LIR_Cleared)</f>
        <v>150</v>
      </c>
      <c r="V16" s="59"/>
      <c r="W16" s="64"/>
      <c r="X16" s="24"/>
      <c r="BZ16" s="22"/>
      <c r="CB16"/>
    </row>
    <row r="17" spans="1:84" ht="16.5" thickTop="1" thickBot="1" x14ac:dyDescent="0.3">
      <c r="A17" s="49">
        <f>E4-E24</f>
        <v>750</v>
      </c>
      <c r="B17" s="24"/>
      <c r="C17" s="88" t="s">
        <v>51</v>
      </c>
      <c r="D17" s="89">
        <v>1500</v>
      </c>
      <c r="E17" s="77"/>
      <c r="F17" s="71"/>
      <c r="G17" s="72"/>
      <c r="H17" s="73">
        <v>200</v>
      </c>
      <c r="I17" s="74">
        <v>0.8</v>
      </c>
      <c r="J17" s="26"/>
      <c r="K17" s="64"/>
      <c r="L17" s="13" t="s">
        <v>29</v>
      </c>
      <c r="M17" s="18">
        <v>133.001</v>
      </c>
      <c r="N17" s="18">
        <v>150</v>
      </c>
      <c r="O17" s="18">
        <v>150</v>
      </c>
      <c r="P17" s="13" t="s">
        <v>56</v>
      </c>
      <c r="R17" s="66" t="s">
        <v>58</v>
      </c>
      <c r="S17" s="6">
        <v>0</v>
      </c>
      <c r="T17" s="6">
        <v>0</v>
      </c>
      <c r="U17" s="84">
        <v>0</v>
      </c>
      <c r="V17" s="59"/>
      <c r="W17" s="64"/>
      <c r="X17" s="24"/>
      <c r="BZ17" s="22"/>
      <c r="CA17" s="22"/>
      <c r="CE17"/>
      <c r="CF17"/>
    </row>
    <row r="18" spans="1:84" ht="16.5" thickTop="1" thickBot="1" x14ac:dyDescent="0.3">
      <c r="A18" s="49"/>
      <c r="B18" s="24"/>
      <c r="C18" s="90" t="s">
        <v>35</v>
      </c>
      <c r="D18" s="91">
        <v>4500</v>
      </c>
      <c r="E18" s="78"/>
      <c r="F18" s="79"/>
      <c r="G18" s="79"/>
      <c r="H18" s="79"/>
      <c r="I18" s="79"/>
      <c r="J18" s="79"/>
      <c r="K18" s="65"/>
      <c r="L18" s="13" t="s">
        <v>55</v>
      </c>
      <c r="M18" s="18">
        <v>0</v>
      </c>
      <c r="N18" s="18">
        <v>0</v>
      </c>
      <c r="O18" s="18">
        <v>0</v>
      </c>
      <c r="P18" s="18">
        <v>0</v>
      </c>
      <c r="Q18" s="56"/>
      <c r="R18" s="82" t="s">
        <v>59</v>
      </c>
      <c r="S18" s="81">
        <f>S36*SI_Reserve_Share_Eff</f>
        <v>0</v>
      </c>
      <c r="T18" s="81">
        <f>T36*SI_Reserve_Share_Eff</f>
        <v>0</v>
      </c>
      <c r="U18" s="85">
        <f>U36*SI_Reserve_Share_Eff</f>
        <v>0</v>
      </c>
      <c r="V18" s="61"/>
      <c r="W18" s="65"/>
      <c r="X18" s="24"/>
      <c r="BZ18" s="22"/>
      <c r="CB18"/>
    </row>
    <row r="19" spans="1:84" ht="15.75" thickTop="1" x14ac:dyDescent="0.25">
      <c r="A19" s="49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BZ19" s="22"/>
      <c r="CB19"/>
    </row>
    <row r="20" spans="1:84" ht="15" x14ac:dyDescent="0.25">
      <c r="A20" s="49"/>
      <c r="B20" s="24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24"/>
      <c r="BZ20" s="22"/>
      <c r="CB20"/>
    </row>
    <row r="21" spans="1:84" s="24" customFormat="1" ht="15" x14ac:dyDescent="0.25">
      <c r="A21" s="49"/>
      <c r="CA21" s="93"/>
      <c r="CB21" s="93"/>
      <c r="CC21"/>
      <c r="CD21"/>
    </row>
    <row r="22" spans="1:84" ht="15" x14ac:dyDescent="0.25">
      <c r="A22" s="49"/>
      <c r="B22" s="24"/>
      <c r="C22" s="24"/>
      <c r="D22" s="24"/>
      <c r="E22" s="24"/>
      <c r="F22" s="92" t="s">
        <v>72</v>
      </c>
      <c r="G22" s="92"/>
      <c r="H22" s="92"/>
      <c r="I22" s="92"/>
      <c r="J22" s="92"/>
      <c r="K22" s="92" t="s">
        <v>71</v>
      </c>
      <c r="L22" s="92"/>
      <c r="M22" s="92"/>
      <c r="N22" s="92"/>
      <c r="O22" s="92"/>
      <c r="P22" s="24"/>
      <c r="Q22" s="24"/>
      <c r="R22" s="24"/>
      <c r="S22" s="24"/>
      <c r="T22" s="24"/>
      <c r="U22" s="24"/>
      <c r="V22" s="24"/>
      <c r="W22" s="24"/>
      <c r="X22" s="24"/>
      <c r="BZ22" s="22"/>
      <c r="CB22"/>
    </row>
    <row r="23" spans="1:84" ht="14.45" customHeight="1" x14ac:dyDescent="0.25">
      <c r="A23" s="49"/>
      <c r="B23" s="24"/>
      <c r="C23" s="45" t="s">
        <v>22</v>
      </c>
      <c r="D23" s="4" t="s">
        <v>65</v>
      </c>
      <c r="E23" s="33" t="s">
        <v>64</v>
      </c>
      <c r="F23" s="4" t="s">
        <v>62</v>
      </c>
      <c r="G23" s="4" t="s">
        <v>63</v>
      </c>
      <c r="H23" s="4" t="s">
        <v>44</v>
      </c>
      <c r="I23" s="4" t="s">
        <v>45</v>
      </c>
      <c r="J23" s="4" t="s">
        <v>46</v>
      </c>
      <c r="K23" s="12" t="s">
        <v>62</v>
      </c>
      <c r="L23" s="12" t="s">
        <v>63</v>
      </c>
      <c r="M23" s="12" t="s">
        <v>44</v>
      </c>
      <c r="N23" s="12" t="s">
        <v>45</v>
      </c>
      <c r="O23" s="12" t="s">
        <v>46</v>
      </c>
      <c r="P23" s="4" t="s">
        <v>1</v>
      </c>
      <c r="Q23" s="4" t="s">
        <v>53</v>
      </c>
      <c r="R23" s="4" t="s">
        <v>54</v>
      </c>
      <c r="S23" s="4" t="s">
        <v>11</v>
      </c>
      <c r="T23" s="4" t="s">
        <v>16</v>
      </c>
      <c r="U23" s="33" t="s">
        <v>38</v>
      </c>
      <c r="V23" s="4" t="s">
        <v>39</v>
      </c>
      <c r="W23" s="24"/>
      <c r="X23" s="24"/>
      <c r="Z23" s="27"/>
      <c r="BZ23" s="22"/>
      <c r="CA23" s="22"/>
      <c r="CB23"/>
    </row>
    <row r="24" spans="1:84" ht="13.9" customHeight="1" x14ac:dyDescent="0.25">
      <c r="A24" s="49"/>
      <c r="B24" s="24"/>
      <c r="C24" s="45"/>
      <c r="D24" s="2">
        <v>1000</v>
      </c>
      <c r="E24" s="14">
        <v>0</v>
      </c>
      <c r="F24" s="15">
        <f>SUM(SI_Energy_Cleared)+DC_South-DC_North+SI_Deficit</f>
        <v>1000</v>
      </c>
      <c r="G24" s="15">
        <f>SUM(SI_Reserve_Cleared)</f>
        <v>143.33333400000001</v>
      </c>
      <c r="H24" s="20">
        <v>80</v>
      </c>
      <c r="I24" s="20">
        <v>140</v>
      </c>
      <c r="J24" s="20">
        <v>135</v>
      </c>
      <c r="K24" s="19">
        <v>600.01</v>
      </c>
      <c r="L24" s="19">
        <f>SUM(M24:O24)</f>
        <v>753.82833339999991</v>
      </c>
      <c r="M24" s="19">
        <v>749.495</v>
      </c>
      <c r="N24" s="19">
        <v>2.6666666999999999</v>
      </c>
      <c r="O24" s="19">
        <v>1.6666666999999999</v>
      </c>
      <c r="P24" s="4">
        <v>40</v>
      </c>
      <c r="Q24" s="4">
        <v>-20</v>
      </c>
      <c r="R24" s="4">
        <v>15</v>
      </c>
      <c r="S24" s="4">
        <v>120</v>
      </c>
      <c r="T24" s="4">
        <v>700</v>
      </c>
      <c r="U24" s="14">
        <v>0</v>
      </c>
      <c r="V24" s="38">
        <v>10000</v>
      </c>
      <c r="W24" s="24"/>
      <c r="X24" s="24"/>
      <c r="Z24" s="26"/>
      <c r="BZ24" s="22"/>
      <c r="CA24" s="22"/>
      <c r="CB24"/>
    </row>
    <row r="25" spans="1:84" ht="15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BZ25" s="22"/>
      <c r="CB25"/>
    </row>
    <row r="26" spans="1:84" ht="15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BZ26" s="22"/>
      <c r="CB26"/>
    </row>
    <row r="27" spans="1:84" ht="15" x14ac:dyDescent="0.25">
      <c r="A27" s="24"/>
      <c r="B27" s="24"/>
      <c r="C27" s="46" t="s">
        <v>21</v>
      </c>
      <c r="D27" s="32" t="s">
        <v>49</v>
      </c>
      <c r="E27" s="9" t="s">
        <v>66</v>
      </c>
      <c r="F27" s="48" t="s">
        <v>0</v>
      </c>
      <c r="G27" s="48"/>
      <c r="H27" s="48" t="s">
        <v>43</v>
      </c>
      <c r="I27" s="48"/>
      <c r="J27" s="48" t="s">
        <v>42</v>
      </c>
      <c r="K27" s="48"/>
      <c r="L27" s="48"/>
      <c r="M27" s="32" t="s">
        <v>2</v>
      </c>
      <c r="N27" s="32" t="s">
        <v>3</v>
      </c>
      <c r="O27" s="35" t="s">
        <v>47</v>
      </c>
      <c r="P27" s="32" t="s">
        <v>25</v>
      </c>
      <c r="Q27" s="32" t="s">
        <v>26</v>
      </c>
      <c r="R27" s="35" t="s">
        <v>48</v>
      </c>
      <c r="S27" s="32" t="s">
        <v>14</v>
      </c>
      <c r="T27" s="32" t="s">
        <v>15</v>
      </c>
      <c r="U27" s="35" t="s">
        <v>41</v>
      </c>
      <c r="V27" s="32" t="s">
        <v>13</v>
      </c>
      <c r="W27" s="35" t="s">
        <v>50</v>
      </c>
      <c r="X27" s="24"/>
      <c r="BZ27" s="22"/>
      <c r="CB27"/>
    </row>
    <row r="28" spans="1:84" ht="15" x14ac:dyDescent="0.25">
      <c r="A28" s="24"/>
      <c r="C28" s="47"/>
      <c r="D28" s="7" t="s">
        <v>18</v>
      </c>
      <c r="E28" s="8" t="s">
        <v>19</v>
      </c>
      <c r="F28" s="7" t="s">
        <v>18</v>
      </c>
      <c r="G28" s="7" t="s">
        <v>20</v>
      </c>
      <c r="H28" s="7" t="s">
        <v>18</v>
      </c>
      <c r="I28" s="7" t="s">
        <v>20</v>
      </c>
      <c r="J28" s="7" t="s">
        <v>44</v>
      </c>
      <c r="K28" s="7" t="s">
        <v>45</v>
      </c>
      <c r="L28" s="7" t="s">
        <v>46</v>
      </c>
      <c r="M28" s="7" t="s">
        <v>18</v>
      </c>
      <c r="N28" s="7" t="s">
        <v>18</v>
      </c>
      <c r="O28" s="7" t="s">
        <v>18</v>
      </c>
      <c r="P28" s="7" t="s">
        <v>18</v>
      </c>
      <c r="Q28" s="7" t="s">
        <v>18</v>
      </c>
      <c r="R28" s="7" t="s">
        <v>18</v>
      </c>
      <c r="S28" s="7" t="s">
        <v>18</v>
      </c>
      <c r="T28" s="7" t="s">
        <v>18</v>
      </c>
      <c r="U28" s="7" t="s">
        <v>18</v>
      </c>
      <c r="V28" s="7" t="s">
        <v>18</v>
      </c>
      <c r="W28" s="7" t="s">
        <v>18</v>
      </c>
      <c r="X28" s="24"/>
      <c r="BZ28" s="22"/>
      <c r="CB28"/>
    </row>
    <row r="29" spans="1:84" ht="15" x14ac:dyDescent="0.25">
      <c r="A29" s="24"/>
      <c r="B29" s="24"/>
      <c r="C29" s="4" t="s">
        <v>5</v>
      </c>
      <c r="D29" s="5">
        <v>400</v>
      </c>
      <c r="E29" s="5">
        <v>0</v>
      </c>
      <c r="F29" s="5">
        <v>350</v>
      </c>
      <c r="G29" s="5">
        <v>1.01</v>
      </c>
      <c r="H29" s="5">
        <v>200</v>
      </c>
      <c r="I29" s="5">
        <v>5</v>
      </c>
      <c r="J29" s="5">
        <v>0.5</v>
      </c>
      <c r="K29" s="5">
        <v>1</v>
      </c>
      <c r="L29" s="5">
        <v>1</v>
      </c>
      <c r="M29" s="11">
        <f>$E29*($V29+S29-SI_NFR_FIR-SI_Violation_FIR-S$37)</f>
        <v>0</v>
      </c>
      <c r="N29" s="11">
        <f>$E29*($V29+T29-SI_NFR_SIR-SI_Violation_SIR-T$37)</f>
        <v>0</v>
      </c>
      <c r="O29" s="11">
        <f>$E29*($V29+U29-SI_NFR_LIR-SI_Violation_LIR-U$37)</f>
        <v>0</v>
      </c>
      <c r="P29" s="11">
        <f>V29+S29</f>
        <v>350</v>
      </c>
      <c r="Q29" s="11">
        <f>V29+T29</f>
        <v>350</v>
      </c>
      <c r="R29" s="11">
        <f>U29+V29</f>
        <v>350</v>
      </c>
      <c r="S29" s="11">
        <f>W29*J29</f>
        <v>0</v>
      </c>
      <c r="T29" s="11">
        <f>W29*K29</f>
        <v>0</v>
      </c>
      <c r="U29" s="11">
        <f>W29*L29</f>
        <v>0</v>
      </c>
      <c r="V29" s="6">
        <v>350</v>
      </c>
      <c r="W29" s="6">
        <v>0</v>
      </c>
      <c r="X29" s="24"/>
      <c r="BZ29" s="22"/>
      <c r="CB29"/>
    </row>
    <row r="30" spans="1:84" ht="15" x14ac:dyDescent="0.25">
      <c r="A30" s="24"/>
      <c r="B30" s="24"/>
      <c r="C30" s="4" t="s">
        <v>6</v>
      </c>
      <c r="D30" s="5">
        <v>400</v>
      </c>
      <c r="E30" s="5">
        <v>0</v>
      </c>
      <c r="F30" s="5">
        <v>350</v>
      </c>
      <c r="G30" s="5">
        <v>2.0099999999999998</v>
      </c>
      <c r="H30" s="5">
        <v>20</v>
      </c>
      <c r="I30" s="5">
        <v>4</v>
      </c>
      <c r="J30" s="5">
        <v>1</v>
      </c>
      <c r="K30" s="5">
        <v>0.8</v>
      </c>
      <c r="L30" s="5">
        <v>0.5</v>
      </c>
      <c r="M30" s="11">
        <f>$E30*($V30+S30-SI_NFR_FIR-SI_Violation_FIR-S$37)</f>
        <v>0</v>
      </c>
      <c r="N30" s="11">
        <f>$E30*($V30+T30-SI_NFR_SIR-SI_Violation_SIR-T$37)</f>
        <v>0</v>
      </c>
      <c r="O30" s="11">
        <f>$E30*($V30+U30-SI_NFR_LIR-SI_Violation_LIR-U$37)</f>
        <v>0</v>
      </c>
      <c r="P30" s="11">
        <f>V30+S30</f>
        <v>366.66666700000002</v>
      </c>
      <c r="Q30" s="11">
        <f>V30+T30</f>
        <v>363.3333336</v>
      </c>
      <c r="R30" s="11">
        <f t="shared" ref="R30:R33" si="6">U30+V30</f>
        <v>358.33333349999998</v>
      </c>
      <c r="S30" s="11">
        <f t="shared" ref="S30:S33" si="7">W30*J30</f>
        <v>16.666667</v>
      </c>
      <c r="T30" s="11">
        <f t="shared" ref="T30:T33" si="8">W30*K30</f>
        <v>13.333333600000001</v>
      </c>
      <c r="U30" s="11">
        <f t="shared" ref="U30:U33" si="9">W30*L30</f>
        <v>8.3333335000000002</v>
      </c>
      <c r="V30" s="6">
        <v>350</v>
      </c>
      <c r="W30" s="6">
        <v>16.666667</v>
      </c>
      <c r="X30" s="24"/>
      <c r="BZ30" s="22"/>
      <c r="CB30"/>
    </row>
    <row r="31" spans="1:84" ht="15" x14ac:dyDescent="0.25">
      <c r="A31" s="24"/>
      <c r="B31" s="24"/>
      <c r="C31" s="4" t="s">
        <v>7</v>
      </c>
      <c r="D31" s="5">
        <v>400</v>
      </c>
      <c r="E31" s="5">
        <v>0</v>
      </c>
      <c r="F31" s="5">
        <v>350</v>
      </c>
      <c r="G31" s="5">
        <v>3.01</v>
      </c>
      <c r="H31" s="5">
        <v>200</v>
      </c>
      <c r="I31" s="5">
        <v>3</v>
      </c>
      <c r="J31" s="5">
        <v>0.5</v>
      </c>
      <c r="K31" s="5">
        <v>1</v>
      </c>
      <c r="L31" s="5">
        <v>1</v>
      </c>
      <c r="M31" s="11">
        <f>$E31*($V31+S31-SI_NFR_FIR-SI_Violation_FIR-S$37)</f>
        <v>0</v>
      </c>
      <c r="N31" s="11">
        <f>$E31*($V31+T31-SI_NFR_SIR-SI_Violation_SIR-T$37)</f>
        <v>0</v>
      </c>
      <c r="O31" s="11">
        <f>$E31*($V31+U31-SI_NFR_LIR-SI_Violation_LIR-U$37)</f>
        <v>0</v>
      </c>
      <c r="P31" s="11">
        <f>V31+S31</f>
        <v>363.33333349999998</v>
      </c>
      <c r="Q31" s="11">
        <f>V31+T31</f>
        <v>376.66666700000002</v>
      </c>
      <c r="R31" s="11">
        <f t="shared" si="6"/>
        <v>376.66666700000002</v>
      </c>
      <c r="S31" s="11">
        <f t="shared" si="7"/>
        <v>13.3333335</v>
      </c>
      <c r="T31" s="11">
        <f t="shared" si="8"/>
        <v>26.666667</v>
      </c>
      <c r="U31" s="11">
        <f t="shared" si="9"/>
        <v>26.666667</v>
      </c>
      <c r="V31" s="6">
        <v>350</v>
      </c>
      <c r="W31" s="6">
        <v>26.666667</v>
      </c>
      <c r="X31" s="24"/>
      <c r="BZ31" s="22"/>
      <c r="CB31"/>
    </row>
    <row r="32" spans="1:84" ht="15" x14ac:dyDescent="0.25">
      <c r="A32" s="24"/>
      <c r="B32" s="24"/>
      <c r="C32" s="4" t="s">
        <v>8</v>
      </c>
      <c r="D32" s="5">
        <v>400</v>
      </c>
      <c r="E32" s="5">
        <v>0</v>
      </c>
      <c r="F32" s="5">
        <v>350</v>
      </c>
      <c r="G32" s="5">
        <v>4.01</v>
      </c>
      <c r="H32" s="5">
        <v>200</v>
      </c>
      <c r="I32" s="5">
        <v>2</v>
      </c>
      <c r="J32" s="5">
        <v>0.5</v>
      </c>
      <c r="K32" s="5">
        <v>1</v>
      </c>
      <c r="L32" s="5">
        <v>1</v>
      </c>
      <c r="M32" s="11">
        <f>$E32*($V32+S32-SI_NFR_FIR-SI_Violation_FIR-S$37)</f>
        <v>0</v>
      </c>
      <c r="N32" s="11">
        <f>$E32*($V32+T32-SI_NFR_SIR-SI_Violation_SIR-T$37)</f>
        <v>0</v>
      </c>
      <c r="O32" s="11">
        <f>$E32*($V32+U32-SI_NFR_LIR-SI_Violation_LIR-U$37)</f>
        <v>0</v>
      </c>
      <c r="P32" s="11">
        <f>V32+S32</f>
        <v>375</v>
      </c>
      <c r="Q32" s="11">
        <f>V32+T32</f>
        <v>400</v>
      </c>
      <c r="R32" s="11">
        <f t="shared" si="6"/>
        <v>400</v>
      </c>
      <c r="S32" s="11">
        <f t="shared" si="7"/>
        <v>25</v>
      </c>
      <c r="T32" s="11">
        <f t="shared" si="8"/>
        <v>50</v>
      </c>
      <c r="U32" s="11">
        <f t="shared" si="9"/>
        <v>50</v>
      </c>
      <c r="V32" s="6">
        <v>350</v>
      </c>
      <c r="W32" s="6">
        <v>50</v>
      </c>
      <c r="X32" s="24"/>
      <c r="BZ32" s="22"/>
      <c r="CB32"/>
    </row>
    <row r="33" spans="1:84" ht="15.75" thickBot="1" x14ac:dyDescent="0.3">
      <c r="A33" s="24"/>
      <c r="B33" s="24"/>
      <c r="C33" s="4" t="s">
        <v>9</v>
      </c>
      <c r="D33" s="5">
        <v>400</v>
      </c>
      <c r="E33" s="5">
        <v>0</v>
      </c>
      <c r="F33" s="54">
        <v>350</v>
      </c>
      <c r="G33" s="54">
        <v>5.01</v>
      </c>
      <c r="H33" s="54">
        <v>200</v>
      </c>
      <c r="I33" s="54">
        <v>1</v>
      </c>
      <c r="J33" s="54">
        <v>0.5</v>
      </c>
      <c r="K33" s="5">
        <v>1</v>
      </c>
      <c r="L33" s="5">
        <v>1</v>
      </c>
      <c r="M33" s="11">
        <f>$E33*($V33+S33-SI_NFR_FIR-SI_Violation_FIR-S$37)</f>
        <v>0</v>
      </c>
      <c r="N33" s="11">
        <f>$E33*($V33+T33-SI_NFR_SIR-SI_Violation_SIR-T$37)</f>
        <v>0</v>
      </c>
      <c r="O33" s="11">
        <f>$E33*($V33+U33-SI_NFR_LIR-SI_Violation_LIR-U$37)</f>
        <v>0</v>
      </c>
      <c r="P33" s="11">
        <f>V33+S33</f>
        <v>375</v>
      </c>
      <c r="Q33" s="11">
        <f>V33+T33</f>
        <v>400</v>
      </c>
      <c r="R33" s="11">
        <f t="shared" si="6"/>
        <v>400</v>
      </c>
      <c r="S33" s="11">
        <f t="shared" si="7"/>
        <v>25</v>
      </c>
      <c r="T33" s="11">
        <f t="shared" si="8"/>
        <v>50</v>
      </c>
      <c r="U33" s="11">
        <f t="shared" si="9"/>
        <v>50</v>
      </c>
      <c r="V33" s="6">
        <v>350</v>
      </c>
      <c r="W33" s="6">
        <v>50</v>
      </c>
      <c r="X33" s="24"/>
      <c r="BZ33" s="22"/>
      <c r="CB33"/>
    </row>
    <row r="34" spans="1:84" ht="16.5" customHeight="1" thickTop="1" thickBot="1" x14ac:dyDescent="0.3">
      <c r="A34" s="24"/>
      <c r="B34" s="24"/>
      <c r="C34" s="86" t="s">
        <v>23</v>
      </c>
      <c r="D34" s="87">
        <v>0</v>
      </c>
      <c r="E34" s="75"/>
      <c r="F34" s="76"/>
      <c r="G34" s="76"/>
      <c r="H34" s="76"/>
      <c r="I34" s="76"/>
      <c r="J34" s="58"/>
      <c r="K34" s="60"/>
      <c r="L34" s="13" t="s">
        <v>57</v>
      </c>
      <c r="M34" s="16">
        <f>DC_South-SI_DC_RampUp-SI_NFR_FIR-SI_Violation_FIR</f>
        <v>-740</v>
      </c>
      <c r="N34" s="16">
        <f>DC_South-SI_DC_RampUp-SI_NFR_SIR-SI_Violation_SIR</f>
        <v>-680</v>
      </c>
      <c r="O34" s="16">
        <f>DC_South-SI_DC_RampUp-SI_NFR_LIR-SI_Violation_LIR</f>
        <v>-715</v>
      </c>
      <c r="P34" s="58"/>
      <c r="Q34" s="58"/>
      <c r="R34" s="62"/>
      <c r="S34" s="63"/>
      <c r="T34" s="63"/>
      <c r="U34" s="62"/>
      <c r="V34" s="58"/>
      <c r="W34" s="60"/>
      <c r="X34" s="24"/>
      <c r="BZ34" s="22"/>
      <c r="CB34"/>
    </row>
    <row r="35" spans="1:84" ht="16.5" customHeight="1" thickTop="1" thickBot="1" x14ac:dyDescent="0.3">
      <c r="A35" s="24"/>
      <c r="B35" s="24"/>
      <c r="C35" s="88" t="s">
        <v>24</v>
      </c>
      <c r="D35" s="89">
        <v>0</v>
      </c>
      <c r="E35" s="77"/>
      <c r="F35" s="67" t="s">
        <v>70</v>
      </c>
      <c r="G35" s="68"/>
      <c r="H35" s="69" t="s">
        <v>68</v>
      </c>
      <c r="I35" s="70" t="s">
        <v>69</v>
      </c>
      <c r="J35" s="59"/>
      <c r="K35" s="64"/>
      <c r="L35" s="13" t="s">
        <v>11</v>
      </c>
      <c r="M35" s="16">
        <f>SI_ManualRisk-SI_NFR_FIR-SI_Violation_FIR-S37</f>
        <v>80</v>
      </c>
      <c r="N35" s="16">
        <f>SI_ManualRisk-SI_NFR_SIR-SI_Violation_SIR-T37</f>
        <v>140</v>
      </c>
      <c r="O35" s="16">
        <f>SI_ManualRisk-SI_NFR_LIR-SI_Violation_LIR-U37</f>
        <v>105</v>
      </c>
      <c r="P35" s="57"/>
      <c r="Q35" s="59"/>
      <c r="R35" s="17" t="s">
        <v>61</v>
      </c>
      <c r="S35" s="80">
        <f>SUM(SI_Cleared_FIR)</f>
        <v>80.000000499999999</v>
      </c>
      <c r="T35" s="80">
        <f>SUM(SI_SIR_Cleared)</f>
        <v>140.00000059999999</v>
      </c>
      <c r="U35" s="83">
        <f>SUM(SI_LIR_Cleared)</f>
        <v>135.0000005</v>
      </c>
      <c r="V35" s="59"/>
      <c r="W35" s="64"/>
      <c r="X35" s="24"/>
      <c r="BZ35" s="22"/>
      <c r="CB35"/>
    </row>
    <row r="36" spans="1:84" ht="16.5" thickTop="1" thickBot="1" x14ac:dyDescent="0.3">
      <c r="A36" s="24"/>
      <c r="B36" s="24"/>
      <c r="C36" s="88" t="s">
        <v>51</v>
      </c>
      <c r="D36" s="89">
        <v>0</v>
      </c>
      <c r="E36" s="77"/>
      <c r="F36" s="71"/>
      <c r="G36" s="72"/>
      <c r="H36" s="73">
        <v>200</v>
      </c>
      <c r="I36" s="74">
        <v>0.8</v>
      </c>
      <c r="J36" s="26"/>
      <c r="K36" s="64"/>
      <c r="L36" s="13" t="s">
        <v>29</v>
      </c>
      <c r="M36" s="18">
        <v>80</v>
      </c>
      <c r="N36" s="18">
        <v>140</v>
      </c>
      <c r="O36" s="18">
        <v>105</v>
      </c>
      <c r="P36" s="13" t="s">
        <v>56</v>
      </c>
      <c r="R36" s="66" t="s">
        <v>58</v>
      </c>
      <c r="S36" s="6">
        <v>0</v>
      </c>
      <c r="T36" s="6">
        <v>0</v>
      </c>
      <c r="U36" s="84">
        <v>0</v>
      </c>
      <c r="V36" s="59"/>
      <c r="W36" s="64"/>
      <c r="X36" s="24"/>
      <c r="BZ36" s="22"/>
      <c r="CA36" s="22"/>
      <c r="CE36"/>
      <c r="CF36"/>
    </row>
    <row r="37" spans="1:84" ht="16.5" thickTop="1" thickBot="1" x14ac:dyDescent="0.3">
      <c r="A37" s="24"/>
      <c r="B37" s="24"/>
      <c r="C37" s="90" t="s">
        <v>35</v>
      </c>
      <c r="D37" s="91">
        <v>9000</v>
      </c>
      <c r="E37" s="78"/>
      <c r="F37" s="79"/>
      <c r="G37" s="79"/>
      <c r="H37" s="79"/>
      <c r="I37" s="79"/>
      <c r="J37" s="79"/>
      <c r="K37" s="65"/>
      <c r="L37" s="13" t="s">
        <v>55</v>
      </c>
      <c r="M37" s="18">
        <v>0</v>
      </c>
      <c r="N37" s="18">
        <v>0</v>
      </c>
      <c r="O37" s="18">
        <v>0</v>
      </c>
      <c r="P37" s="18">
        <v>0</v>
      </c>
      <c r="Q37" s="56"/>
      <c r="R37" s="82" t="s">
        <v>59</v>
      </c>
      <c r="S37" s="81">
        <f>S17*NI_Reserve_Share_Eff</f>
        <v>0</v>
      </c>
      <c r="T37" s="81">
        <f>T17*NI_Reserve_Share_Eff</f>
        <v>0</v>
      </c>
      <c r="U37" s="85">
        <f>U17*NI_Reserve_Share_Eff</f>
        <v>0</v>
      </c>
      <c r="V37" s="61"/>
      <c r="W37" s="65"/>
      <c r="X37" s="24"/>
    </row>
    <row r="38" spans="1:84" ht="15.75" thickTop="1" x14ac:dyDescent="0.25">
      <c r="A38" s="24"/>
      <c r="B38" s="24"/>
      <c r="C38" s="24"/>
      <c r="D38" s="28"/>
      <c r="E38" s="26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</row>
    <row r="39" spans="1:84" ht="18.75" x14ac:dyDescent="0.25">
      <c r="A39" s="44" t="s">
        <v>27</v>
      </c>
      <c r="B39" s="44"/>
      <c r="C39" s="44"/>
      <c r="D39" s="44"/>
      <c r="E39" s="29">
        <f>SUMPRODUCT(NI_Energy_Cleared,NI_Energy_Offer_Price)+SUMPRODUCT(SI_Energy_Cleared,SI_Energy_Offer_Price) + SUM(DC_North,DC_South,NI_Risk,SI_Risk,NI_Reserve_Share_MW,SI_Reserve_Share_MW)*0.00002</f>
        <v>503880.54016002</v>
      </c>
      <c r="F39" s="24"/>
      <c r="G39" s="26"/>
      <c r="H39" s="50" t="s">
        <v>28</v>
      </c>
      <c r="I39" s="50"/>
      <c r="J39" s="26"/>
      <c r="K39" s="26"/>
      <c r="L39" s="40" t="s">
        <v>30</v>
      </c>
      <c r="N39" s="40" t="s">
        <v>31</v>
      </c>
      <c r="P39" s="43" t="s">
        <v>32</v>
      </c>
      <c r="Q39" s="43"/>
      <c r="R39" s="43"/>
      <c r="S39" s="43"/>
      <c r="T39" s="24"/>
      <c r="U39" s="24"/>
      <c r="V39" s="24"/>
      <c r="W39" s="24"/>
      <c r="X39" s="24"/>
    </row>
    <row r="40" spans="1:84" ht="17.45" customHeight="1" x14ac:dyDescent="0.25">
      <c r="A40" s="44" t="s">
        <v>52</v>
      </c>
      <c r="B40" s="44"/>
      <c r="C40" s="44"/>
      <c r="D40" s="44"/>
      <c r="E40" s="29">
        <f>SUMPRODUCT(NI_Reserve_Cleared,NI_Reserve_Offer_Price)+SUMPRODUCT(SI_Reserve_Cleared,SI_Reserve_Offer_Price)</f>
        <v>70615.847678999999</v>
      </c>
      <c r="F40" s="24"/>
      <c r="G40" s="22"/>
      <c r="H40" s="30" t="s">
        <v>4</v>
      </c>
      <c r="I40" s="51">
        <f xml:space="preserve"> Energy_Cost + Reserve_Cost +Energy_Violation_Cost +  NI_Isla_Risk_Vio_Penalty + SI_Isla_Risk_Vio_Penalty + NI_All_Joint_Risk_Vio_Penalty + SI_All_Joint_Risk_Vio_Penalty</f>
        <v>574496.38783902</v>
      </c>
      <c r="J40" s="51"/>
      <c r="K40" s="36"/>
      <c r="L40" s="4"/>
      <c r="M40" s="24"/>
      <c r="N40" s="20"/>
      <c r="O40" s="41"/>
      <c r="P40" s="21"/>
      <c r="Q40" s="40"/>
      <c r="R40" s="26"/>
      <c r="S40" s="24"/>
      <c r="T40" s="24"/>
      <c r="U40" s="24"/>
      <c r="V40" s="24"/>
      <c r="W40" s="24"/>
      <c r="X40" s="24"/>
    </row>
    <row r="41" spans="1:84" ht="16.5" customHeight="1" x14ac:dyDescent="0.25">
      <c r="A41" s="44" t="s">
        <v>40</v>
      </c>
      <c r="B41" s="44"/>
      <c r="C41" s="44"/>
      <c r="D41" s="44"/>
      <c r="E41" s="34">
        <f>NI_Deficit*NI_Voll+SI_Deficit*SI_Voll</f>
        <v>0</v>
      </c>
      <c r="F41" s="24"/>
      <c r="G41" s="26"/>
      <c r="H41" s="26"/>
      <c r="I41" s="26"/>
      <c r="J41" s="26"/>
      <c r="K41" s="26"/>
      <c r="L41" s="26"/>
      <c r="M41" s="26"/>
      <c r="N41" s="26"/>
      <c r="O41" s="24"/>
      <c r="P41" s="24"/>
      <c r="Q41" s="24"/>
      <c r="R41" s="24"/>
      <c r="S41" s="24"/>
      <c r="T41" s="24"/>
      <c r="U41" s="24"/>
      <c r="V41" s="24"/>
      <c r="W41" s="24"/>
      <c r="X41" s="24"/>
    </row>
    <row r="42" spans="1:84" ht="15.75" customHeight="1" x14ac:dyDescent="0.25">
      <c r="A42" s="44" t="s">
        <v>33</v>
      </c>
      <c r="B42" s="44"/>
      <c r="C42" s="44"/>
      <c r="D42" s="44"/>
      <c r="E42" s="29">
        <f>NI_Violation_FIR*NI_Viol_Cost_FIR+NI_Violation_SIR*NI_Viol_Cost_SIR+NI_Violation_LIR*NI_Viol_Cost_LIR</f>
        <v>0</v>
      </c>
      <c r="F42" s="26"/>
      <c r="G42" s="52" t="s">
        <v>60</v>
      </c>
      <c r="H42" s="52"/>
      <c r="I42" s="53"/>
      <c r="J42" s="42" t="s">
        <v>67</v>
      </c>
      <c r="K42" s="26"/>
      <c r="L42" s="24"/>
      <c r="M42" s="24"/>
      <c r="N42" s="24"/>
      <c r="O42" s="24"/>
      <c r="P42" s="24"/>
      <c r="Q42" s="24"/>
      <c r="R42" s="24"/>
      <c r="S42" s="39"/>
      <c r="T42" s="24"/>
      <c r="U42" s="24"/>
      <c r="V42" s="24"/>
      <c r="W42" s="24"/>
      <c r="X42" s="24"/>
    </row>
    <row r="43" spans="1:84" ht="15.75" x14ac:dyDescent="0.25">
      <c r="A43" s="44" t="s">
        <v>34</v>
      </c>
      <c r="B43" s="44"/>
      <c r="C43" s="44"/>
      <c r="D43" s="44"/>
      <c r="E43" s="29">
        <f>SI_Violation_FIR*SI_Viol_Cost_FIR+SI_Violation_SIR*SI_Viol_Cost_SIR+SI_Violation_LIR*SI_Viol_Cost_LIR</f>
        <v>0</v>
      </c>
      <c r="F43" s="26"/>
      <c r="G43" s="26"/>
      <c r="I43" s="24"/>
      <c r="K43" s="40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</row>
    <row r="44" spans="1:84" ht="15.75" x14ac:dyDescent="0.25">
      <c r="A44" s="44" t="s">
        <v>36</v>
      </c>
      <c r="B44" s="44"/>
      <c r="C44" s="44"/>
      <c r="D44" s="44"/>
      <c r="E44" s="29">
        <f>NI_Violation_Joint*NI_Viol_Cost_Joint</f>
        <v>0</v>
      </c>
      <c r="F44" s="26"/>
      <c r="G44" s="26"/>
      <c r="H44" s="24"/>
      <c r="I44" s="24"/>
      <c r="J44" s="24"/>
      <c r="K44" s="24"/>
      <c r="L44" s="24"/>
      <c r="M44" s="24"/>
      <c r="N44" s="26"/>
      <c r="O44" s="24"/>
      <c r="P44" s="24"/>
      <c r="Q44" s="24"/>
      <c r="R44" s="24"/>
      <c r="S44" s="24"/>
      <c r="T44" s="24"/>
      <c r="U44" s="24"/>
      <c r="V44" s="24"/>
      <c r="W44" s="24"/>
      <c r="X44" s="24"/>
    </row>
    <row r="45" spans="1:84" ht="15.75" x14ac:dyDescent="0.25">
      <c r="A45" s="44" t="s">
        <v>37</v>
      </c>
      <c r="B45" s="44"/>
      <c r="C45" s="44"/>
      <c r="D45" s="44"/>
      <c r="E45" s="29">
        <f>SI_Violation_Joint*SI_Viol_Cost_Joint</f>
        <v>0</v>
      </c>
      <c r="F45" s="26"/>
      <c r="G45" s="24"/>
      <c r="H45" s="24"/>
      <c r="I45" s="24"/>
      <c r="J45" s="24"/>
      <c r="K45" s="40"/>
      <c r="L45" s="40"/>
      <c r="M45" s="40"/>
      <c r="N45" s="26"/>
      <c r="O45" s="24"/>
      <c r="P45" s="24"/>
      <c r="Q45" s="24"/>
      <c r="R45" s="24"/>
      <c r="S45" s="24"/>
      <c r="T45" s="24"/>
      <c r="U45" s="24"/>
      <c r="V45" s="24"/>
      <c r="W45" s="24"/>
      <c r="X45" s="24"/>
    </row>
    <row r="46" spans="1:84" ht="15" x14ac:dyDescent="0.25">
      <c r="A46" s="24"/>
      <c r="B46" s="24"/>
      <c r="C46" s="24"/>
      <c r="D46" s="24"/>
      <c r="E46" s="24"/>
      <c r="F46" s="26"/>
      <c r="G46" s="24"/>
      <c r="H46" s="24"/>
      <c r="I46" s="24"/>
      <c r="J46" s="24"/>
      <c r="K46" s="24"/>
      <c r="L46" s="24"/>
      <c r="M46" s="24"/>
      <c r="N46" s="26"/>
      <c r="O46" s="24"/>
      <c r="P46" s="24"/>
      <c r="Q46" s="24"/>
      <c r="R46" s="24"/>
      <c r="S46" s="24"/>
      <c r="T46" s="24"/>
      <c r="U46" s="24"/>
      <c r="V46" s="24"/>
      <c r="W46" s="24"/>
      <c r="X46" s="24"/>
    </row>
    <row r="47" spans="1:84" ht="15.75" hidden="1" x14ac:dyDescent="0.25">
      <c r="A47" s="44"/>
      <c r="B47" s="44"/>
      <c r="C47" s="44"/>
      <c r="D47" s="44"/>
      <c r="E47" s="29"/>
      <c r="F47" s="26"/>
      <c r="G47" s="26"/>
      <c r="H47" s="24"/>
      <c r="I47" s="31"/>
      <c r="J47" s="24"/>
      <c r="K47" s="40"/>
      <c r="L47" s="40"/>
      <c r="M47" s="40"/>
      <c r="N47" s="26"/>
      <c r="O47" s="24"/>
      <c r="P47" s="24"/>
      <c r="Q47" s="24"/>
      <c r="R47" s="24"/>
      <c r="V47" s="24"/>
      <c r="W47" s="24"/>
      <c r="X47" s="24"/>
    </row>
    <row r="48" spans="1:84" ht="15.75" hidden="1" x14ac:dyDescent="0.25">
      <c r="A48" s="44"/>
      <c r="B48" s="44"/>
      <c r="C48" s="44"/>
      <c r="D48" s="44"/>
      <c r="E48" s="29"/>
      <c r="F48" s="26"/>
      <c r="G48" s="26"/>
      <c r="H48" s="26"/>
      <c r="I48" s="26"/>
      <c r="J48" s="26"/>
      <c r="K48" s="26"/>
      <c r="L48" s="26"/>
      <c r="M48" s="26"/>
      <c r="N48" s="26"/>
      <c r="O48" s="24"/>
      <c r="P48" s="24"/>
      <c r="Q48" s="24"/>
      <c r="R48" s="24"/>
      <c r="S48" s="24"/>
      <c r="T48" s="24"/>
      <c r="U48" s="24"/>
      <c r="V48" s="24"/>
      <c r="W48" s="24"/>
      <c r="X48" s="24"/>
    </row>
    <row r="49" spans="1:76" ht="15" hidden="1" x14ac:dyDescent="0.25">
      <c r="A49" s="24"/>
      <c r="B49" s="24"/>
      <c r="C49" s="24"/>
      <c r="D49" s="24"/>
      <c r="E49" s="24"/>
      <c r="F49" s="26"/>
      <c r="G49" s="26"/>
      <c r="H49" s="26"/>
      <c r="I49" s="26"/>
      <c r="J49" s="26"/>
      <c r="K49" s="26"/>
      <c r="L49" s="26"/>
      <c r="M49" s="26"/>
      <c r="N49" s="26"/>
      <c r="O49" s="24"/>
      <c r="P49" s="24"/>
      <c r="Q49" s="24"/>
      <c r="R49" s="24"/>
      <c r="S49" s="24"/>
      <c r="T49" s="24"/>
      <c r="U49" s="24"/>
      <c r="V49" s="24"/>
      <c r="W49" s="24"/>
      <c r="X49" s="24"/>
    </row>
    <row r="50" spans="1:76" ht="15" hidden="1" x14ac:dyDescent="0.25">
      <c r="A50" s="24"/>
      <c r="B50" s="24"/>
      <c r="C50" s="24"/>
      <c r="D50" s="24"/>
      <c r="E50" s="24"/>
      <c r="F50" s="24"/>
      <c r="G50" s="26"/>
      <c r="H50" s="26"/>
      <c r="I50" s="26"/>
      <c r="J50" s="26"/>
      <c r="K50" s="26"/>
      <c r="L50" s="26"/>
      <c r="M50" s="26"/>
      <c r="N50" s="26"/>
      <c r="O50" s="24"/>
      <c r="P50" s="24"/>
      <c r="Q50" s="24"/>
      <c r="R50" s="24"/>
      <c r="S50" s="24"/>
      <c r="T50" s="24"/>
      <c r="U50" s="24"/>
      <c r="V50" s="24"/>
      <c r="W50" s="24"/>
      <c r="X50" s="24"/>
    </row>
    <row r="51" spans="1:76" ht="15" hidden="1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</row>
    <row r="52" spans="1:76" ht="15" hidden="1" x14ac:dyDescent="0.25"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</row>
    <row r="53" spans="1:76" ht="15" hidden="1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</row>
    <row r="54" spans="1:76" ht="15" hidden="1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</row>
    <row r="55" spans="1:76" ht="15" hidden="1" x14ac:dyDescent="0.25"/>
    <row r="56" spans="1:76" ht="15" hidden="1" x14ac:dyDescent="0.25"/>
    <row r="57" spans="1:76" ht="15" hidden="1" x14ac:dyDescent="0.25"/>
    <row r="58" spans="1:76" ht="15" hidden="1" x14ac:dyDescent="0.25"/>
    <row r="59" spans="1:76" ht="15" hidden="1" x14ac:dyDescent="0.25"/>
    <row r="60" spans="1:76" ht="15" hidden="1" x14ac:dyDescent="0.25"/>
    <row r="61" spans="1:76" ht="15" hidden="1" x14ac:dyDescent="0.25"/>
    <row r="62" spans="1:76" ht="15" hidden="1" x14ac:dyDescent="0.25"/>
    <row r="63" spans="1:76" ht="15" hidden="1" x14ac:dyDescent="0.25"/>
    <row r="64" spans="1:76" ht="15" hidden="1" x14ac:dyDescent="0.25"/>
    <row r="65" spans="1:26" ht="15" hidden="1" x14ac:dyDescent="0.25"/>
    <row r="66" spans="1:26" ht="15" hidden="1" x14ac:dyDescent="0.25"/>
    <row r="67" spans="1:26" ht="15" hidden="1" x14ac:dyDescent="0.25"/>
    <row r="68" spans="1:26" ht="15" hidden="1" x14ac:dyDescent="0.25"/>
    <row r="69" spans="1:26" ht="15" hidden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ht="15" hidden="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ht="15" hidden="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ht="15" hidden="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ht="15" hidden="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ht="15" hidden="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ht="15" hidden="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ht="15" hidden="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ht="15" hidden="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ht="15" hidden="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spans="1:26" ht="15" hidden="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spans="1:26" ht="15" hidden="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spans="1:26" ht="15" hidden="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spans="1:26" ht="15" hidden="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spans="1:26" ht="15" hidden="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spans="1:26" ht="15" hidden="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spans="1:26" ht="15" hidden="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spans="1:26" ht="15" hidden="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spans="1:26" ht="15" hidden="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spans="1:26" ht="15" hidden="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spans="1:26" ht="15" hidden="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spans="1:26" ht="15" hidden="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spans="1:26" ht="15" hidden="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ht="15" hidden="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spans="1:26" ht="15" hidden="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spans="1:26" ht="15" hidden="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ht="15" hidden="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spans="1:26" ht="15" hidden="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spans="1:26" ht="15" hidden="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spans="1:26" ht="15" hidden="1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spans="1:26" ht="15" hidden="1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spans="1:26" ht="15" hidden="1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spans="1:26" ht="15" hidden="1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spans="1:26" ht="15" hidden="1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spans="1:26" ht="15" hidden="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spans="1:26" ht="15" hidden="1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spans="1:26" ht="15" hidden="1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spans="1:26" ht="15" hidden="1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spans="1:26" ht="15" hidden="1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spans="1:26" ht="15" hidden="1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spans="1:26" ht="15" hidden="1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spans="1:26" ht="15" hidden="1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spans="1:26" ht="15" hidden="1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spans="1:26" ht="15" hidden="1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spans="1:26" ht="15" hidden="1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spans="1:26" ht="15" hidden="1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spans="1:26" ht="15" hidden="1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spans="1:26" ht="15" hidden="1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spans="1:26" ht="15" hidden="1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spans="1:26" ht="15" hidden="1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26" ht="15" hidden="1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spans="1:26" ht="15" hidden="1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spans="1:26" ht="15" hidden="1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spans="1:26" ht="15" hidden="1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spans="1:26" ht="15" hidden="1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spans="1:26" ht="15" hidden="1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spans="1:26" ht="15" hidden="1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spans="1:26" ht="15" hidden="1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spans="1:26" ht="15" hidden="1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spans="1:26" ht="15" hidden="1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spans="1:26" ht="15" hidden="1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spans="1:26" ht="15" hidden="1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spans="1:26" ht="15" hidden="1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spans="1:26" ht="15" hidden="1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spans="1:26" ht="15" hidden="1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spans="1:26" ht="15" hidden="1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spans="1:26" ht="15" hidden="1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spans="1:26" ht="15" hidden="1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spans="1:26" ht="15" hidden="1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spans="1:26" ht="15" hidden="1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spans="1:26" ht="15" hidden="1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spans="1:26" ht="15" hidden="1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spans="1:26" ht="15" hidden="1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ht="15" hidden="1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ht="15" hidden="1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ht="15" hidden="1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ht="15" hidden="1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ht="15" hidden="1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ht="15" hidden="1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" hidden="1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ht="15" hidden="1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ht="15" hidden="1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ht="15" hidden="1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ht="15" hidden="1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ht="15" hidden="1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ht="15" hidden="1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ht="15" hidden="1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ht="15" hidden="1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ht="15" hidden="1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ht="15" hidden="1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ht="15" hidden="1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</sheetData>
  <protectedRanges>
    <protectedRange sqref="V24" name="SI_Voll"/>
    <protectedRange sqref="V4" name="NI_Voll"/>
    <protectedRange sqref="D4" name="NI_Demand"/>
    <protectedRange sqref="D24" name="SI_Demand"/>
    <protectedRange sqref="P4:T4" name="NI_Risk_Parameters"/>
    <protectedRange sqref="P24:T24" name="SI_Risk_Parameters"/>
    <protectedRange sqref="D9:L14" name="NI_Offers"/>
    <protectedRange sqref="D29:L33" name="SI_Offers"/>
    <protectedRange sqref="D15:D18" name="NI_Violation_Cost"/>
    <protectedRange sqref="D34:D37" name="SI_Violation_Cost"/>
  </protectedRanges>
  <mergeCells count="30">
    <mergeCell ref="F2:J2"/>
    <mergeCell ref="F22:J22"/>
    <mergeCell ref="A42:D42"/>
    <mergeCell ref="A43:D43"/>
    <mergeCell ref="A47:D47"/>
    <mergeCell ref="J7:L7"/>
    <mergeCell ref="H39:I39"/>
    <mergeCell ref="C27:C28"/>
    <mergeCell ref="F27:G27"/>
    <mergeCell ref="H27:I27"/>
    <mergeCell ref="F35:G36"/>
    <mergeCell ref="J27:L27"/>
    <mergeCell ref="I40:J40"/>
    <mergeCell ref="G42:I42"/>
    <mergeCell ref="K2:O2"/>
    <mergeCell ref="K22:O22"/>
    <mergeCell ref="P39:S39"/>
    <mergeCell ref="A48:D48"/>
    <mergeCell ref="A44:D44"/>
    <mergeCell ref="A45:D45"/>
    <mergeCell ref="A39:D39"/>
    <mergeCell ref="A40:D40"/>
    <mergeCell ref="A41:D41"/>
    <mergeCell ref="C3:C4"/>
    <mergeCell ref="C7:C8"/>
    <mergeCell ref="F7:G7"/>
    <mergeCell ref="H7:I7"/>
    <mergeCell ref="A17:A24"/>
    <mergeCell ref="C23:C24"/>
    <mergeCell ref="F16:G17"/>
  </mergeCells>
  <dataValidations count="1">
    <dataValidation type="list" allowBlank="1" showInputMessage="1" showErrorMessage="1" sqref="J42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L4 L24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Solver">
                <anchor moveWithCells="1" sizeWithCells="1">
                  <from>
                    <xdr:col>11</xdr:col>
                    <xdr:colOff>161925</xdr:colOff>
                    <xdr:row>42</xdr:row>
                    <xdr:rowOff>38100</xdr:rowOff>
                  </from>
                  <to>
                    <xdr:col>14</xdr:col>
                    <xdr:colOff>419100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el_Setup">
                <anchor moveWithCells="1" sizeWithCells="1">
                  <from>
                    <xdr:col>6</xdr:col>
                    <xdr:colOff>438150</xdr:colOff>
                    <xdr:row>42</xdr:row>
                    <xdr:rowOff>76200</xdr:rowOff>
                  </from>
                  <to>
                    <xdr:col>10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170</vt:i4>
      </vt:variant>
    </vt:vector>
  </HeadingPairs>
  <TitlesOfParts>
    <vt:vector size="171" baseType="lpstr">
      <vt:lpstr>Solver</vt:lpstr>
      <vt:lpstr>Solver!DC_North</vt:lpstr>
      <vt:lpstr>Solver!DC_South</vt:lpstr>
      <vt:lpstr>Solver!Energy_Cost</vt:lpstr>
      <vt:lpstr>Solver!Energy_Violation_Cost</vt:lpstr>
      <vt:lpstr>Solver!NI_All_Joint_Risk_Vio_Penalty</vt:lpstr>
      <vt:lpstr>Solver!NI_DC_RampUp</vt:lpstr>
      <vt:lpstr>Solver!NI_DCRisk_FIR</vt:lpstr>
      <vt:lpstr>NI_DCRisk_LIR</vt:lpstr>
      <vt:lpstr>Solver!NI_DCRisk_SIR</vt:lpstr>
      <vt:lpstr>Solver!NI_Deficit</vt:lpstr>
      <vt:lpstr>Solver!NI_Demand</vt:lpstr>
      <vt:lpstr>Solver!NI_Energy_Cleared</vt:lpstr>
      <vt:lpstr>Solver!NI_Energy_Offer_MW</vt:lpstr>
      <vt:lpstr>Solver!NI_Energy_Offer_Price</vt:lpstr>
      <vt:lpstr>Solver!NI_Energy_Price</vt:lpstr>
      <vt:lpstr>Solver!NI_EnergyFIR_Cleared</vt:lpstr>
      <vt:lpstr>NI_EnergyLIR_Cleared</vt:lpstr>
      <vt:lpstr>Solver!NI_EnergySIR_Cleared</vt:lpstr>
      <vt:lpstr>Solver!NI_Factor_FIR</vt:lpstr>
      <vt:lpstr>Solver!NI_Factor_LIR</vt:lpstr>
      <vt:lpstr>NI_Factor_SIR</vt:lpstr>
      <vt:lpstr>Solver!NI_FIR_Cleared</vt:lpstr>
      <vt:lpstr>Solver!NI_FIR_GenRisk1</vt:lpstr>
      <vt:lpstr>Solver!NI_FIR_GenRisk2</vt:lpstr>
      <vt:lpstr>Solver!NI_FIR_GenRisk3</vt:lpstr>
      <vt:lpstr>Solver!NI_FIR_GenRisk4</vt:lpstr>
      <vt:lpstr>Solver!NI_FIR_GenRisk5</vt:lpstr>
      <vt:lpstr>Solver!NI_FIR_GenRisk6</vt:lpstr>
      <vt:lpstr>NI_FIR_MW</vt:lpstr>
      <vt:lpstr>Solver!NI_FIR_Price</vt:lpstr>
      <vt:lpstr>Solver!NI_Gen_Capacity</vt:lpstr>
      <vt:lpstr>Solver!NI_GenRisk_FIR</vt:lpstr>
      <vt:lpstr>NI_GenRisk_LIR</vt:lpstr>
      <vt:lpstr>Solver!NI_GenRisk_SIR</vt:lpstr>
      <vt:lpstr>Solver!NI_Indi_Joint_Risk_Vio_Penalty</vt:lpstr>
      <vt:lpstr>Solver!NI_Isla_Risk_Vio_Penalty</vt:lpstr>
      <vt:lpstr>NI_LIR_Cleared</vt:lpstr>
      <vt:lpstr>NI_LIR_GenRisk1</vt:lpstr>
      <vt:lpstr>NI_LIR_GenRisk2</vt:lpstr>
      <vt:lpstr>NI_LIR_GenRisk3</vt:lpstr>
      <vt:lpstr>NI_LIR_GenRisk4</vt:lpstr>
      <vt:lpstr>NI_LIR_GenRisk5</vt:lpstr>
      <vt:lpstr>NI_LIR_GenRisk6</vt:lpstr>
      <vt:lpstr>NI_LIR_MW</vt:lpstr>
      <vt:lpstr>NI_LIR_Price</vt:lpstr>
      <vt:lpstr>Solver!NI_ManualRisk</vt:lpstr>
      <vt:lpstr>Solver!NI_ManualRisk_FIR</vt:lpstr>
      <vt:lpstr>NI_ManualRisk_LIR</vt:lpstr>
      <vt:lpstr>Solver!NI_ManualRisk_SIR</vt:lpstr>
      <vt:lpstr>Solver!NI_NFR_FIR</vt:lpstr>
      <vt:lpstr>Solver!NI_NFR_LIR</vt:lpstr>
      <vt:lpstr>NI_NFR_SIR</vt:lpstr>
      <vt:lpstr>NI_Reserve_Class</vt:lpstr>
      <vt:lpstr>NI_Reserve_Class_MW</vt:lpstr>
      <vt:lpstr>NI_Reserve_Cleared</vt:lpstr>
      <vt:lpstr>Solver!NI_Reserve_Offer_MW</vt:lpstr>
      <vt:lpstr>Solver!NI_Reserve_Offer_Price</vt:lpstr>
      <vt:lpstr>NI_Reserve_Price</vt:lpstr>
      <vt:lpstr>NI_Reserve_Received_MW</vt:lpstr>
      <vt:lpstr>NI_Reserve_Share_Eff</vt:lpstr>
      <vt:lpstr>NI_Reserve_Share_Max</vt:lpstr>
      <vt:lpstr>NI_Reserve_Share_MW</vt:lpstr>
      <vt:lpstr>NI_Reserve_Viol</vt:lpstr>
      <vt:lpstr>NI_Risk</vt:lpstr>
      <vt:lpstr>Solver!NI_Risk_FIR</vt:lpstr>
      <vt:lpstr>NI_Risk_LIR</vt:lpstr>
      <vt:lpstr>Solver!NI_Risk_SIR</vt:lpstr>
      <vt:lpstr>Solver!NI_SIR_Cleared</vt:lpstr>
      <vt:lpstr>Solver!NI_SIR_GenRisk1</vt:lpstr>
      <vt:lpstr>Solver!NI_SIR_GenRisk2</vt:lpstr>
      <vt:lpstr>Solver!NI_SIR_GenRisk3</vt:lpstr>
      <vt:lpstr>Solver!NI_SIR_GenRisk4</vt:lpstr>
      <vt:lpstr>Solver!NI_SIR_GenRisk5</vt:lpstr>
      <vt:lpstr>Solver!NI_SIR_GenRisk6</vt:lpstr>
      <vt:lpstr>NI_SIR_MW</vt:lpstr>
      <vt:lpstr>Solver!NI_SIR_Price</vt:lpstr>
      <vt:lpstr>Solver!NI_Total_Energy</vt:lpstr>
      <vt:lpstr>Solver!NI_Total_FIR</vt:lpstr>
      <vt:lpstr>NI_Total_LIR</vt:lpstr>
      <vt:lpstr>Solver!NI_Total_SIR</vt:lpstr>
      <vt:lpstr>Solver!NI_Viol_Cost_FIR</vt:lpstr>
      <vt:lpstr>Solver!NI_Viol_Cost_Joint</vt:lpstr>
      <vt:lpstr>NI_Viol_Cost_LIR</vt:lpstr>
      <vt:lpstr>Solver!NI_Viol_Cost_SIR</vt:lpstr>
      <vt:lpstr>Solver!NI_Violation_FIR</vt:lpstr>
      <vt:lpstr>Solver!NI_Violation_Joint</vt:lpstr>
      <vt:lpstr>NI_Violation_LIR</vt:lpstr>
      <vt:lpstr>Solver!NI_Violation_SIR</vt:lpstr>
      <vt:lpstr>Solver!NI_Voll</vt:lpstr>
      <vt:lpstr>NMIR_model</vt:lpstr>
      <vt:lpstr>Solver!Reserve_Cost</vt:lpstr>
      <vt:lpstr>Solver!SI_All_Joint_Risk_Vio_Penalty</vt:lpstr>
      <vt:lpstr>Solver!SI_Cleared_FIR</vt:lpstr>
      <vt:lpstr>Solver!SI_DC_RampUp</vt:lpstr>
      <vt:lpstr>Solver!SI_DCRisk_FIR</vt:lpstr>
      <vt:lpstr>SI_DCRisk_LIR</vt:lpstr>
      <vt:lpstr>Solver!SI_DCRisk_SIR</vt:lpstr>
      <vt:lpstr>Solver!SI_Deficit</vt:lpstr>
      <vt:lpstr>Solver!SI_Demand</vt:lpstr>
      <vt:lpstr>Solver!SI_Energy_Cleared</vt:lpstr>
      <vt:lpstr>Solver!SI_Energy_Offer_MW</vt:lpstr>
      <vt:lpstr>Solver!SI_Energy_Offer_Price</vt:lpstr>
      <vt:lpstr>Solver!SI_Energy_Price</vt:lpstr>
      <vt:lpstr>Solver!SI_EnergyFIR_Cleared</vt:lpstr>
      <vt:lpstr>SI_EnergyLIR_Cleared</vt:lpstr>
      <vt:lpstr>Solver!SI_EnergySIR_Cleared</vt:lpstr>
      <vt:lpstr>Solver!SI_Factor_FIR</vt:lpstr>
      <vt:lpstr>Solver!SI_Factor_LIR</vt:lpstr>
      <vt:lpstr>SI_Factor_SIR</vt:lpstr>
      <vt:lpstr>Solver!SI_FIR_GenRisk1</vt:lpstr>
      <vt:lpstr>Solver!SI_FIR_GenRisk2</vt:lpstr>
      <vt:lpstr>Solver!SI_FIR_GenRisk3</vt:lpstr>
      <vt:lpstr>Solver!SI_FIR_GenRisk4</vt:lpstr>
      <vt:lpstr>Solver!SI_FIR_GenRisk5</vt:lpstr>
      <vt:lpstr>SI_FIR_MW</vt:lpstr>
      <vt:lpstr>Solver!SI_FIR_Price</vt:lpstr>
      <vt:lpstr>Solver!SI_Gen_Capacity</vt:lpstr>
      <vt:lpstr>Solver!SI_GenRisk_FIR</vt:lpstr>
      <vt:lpstr>SI_GenRisk_LIR</vt:lpstr>
      <vt:lpstr>Solver!SI_GenRisk_SIR</vt:lpstr>
      <vt:lpstr>Solver!SI_Indi_Joint_Risk_Vio_Penalty</vt:lpstr>
      <vt:lpstr>Solver!SI_Isla_Risk_Vio_Penalty</vt:lpstr>
      <vt:lpstr>SI_LIR_Cleared</vt:lpstr>
      <vt:lpstr>SI_LIR_MW</vt:lpstr>
      <vt:lpstr>SI_LIR_Price</vt:lpstr>
      <vt:lpstr>Solver!SI_ManualRisk</vt:lpstr>
      <vt:lpstr>Solver!SI_ManualRisk_FIR</vt:lpstr>
      <vt:lpstr>SI_ManualRisk_LIR</vt:lpstr>
      <vt:lpstr>Solver!SI_ManualRisk_SIR</vt:lpstr>
      <vt:lpstr>Solver!SI_NFR_FIR</vt:lpstr>
      <vt:lpstr>Solver!SI_NFR_LIR</vt:lpstr>
      <vt:lpstr>SI_NFR_SIR</vt:lpstr>
      <vt:lpstr>SI_Reserve_Class</vt:lpstr>
      <vt:lpstr>SI_Reserve_Class_MW</vt:lpstr>
      <vt:lpstr>SI_Reserve_Cleared</vt:lpstr>
      <vt:lpstr>Solver!SI_Reserve_Offer_MW</vt:lpstr>
      <vt:lpstr>Solver!SI_Reserve_Offer_Price</vt:lpstr>
      <vt:lpstr>SI_Reserve_Price</vt:lpstr>
      <vt:lpstr>SI_Reserve_Received_MW</vt:lpstr>
      <vt:lpstr>SI_Reserve_Share_Eff</vt:lpstr>
      <vt:lpstr>SI_Reserve_Share_Max</vt:lpstr>
      <vt:lpstr>SI_Reserve_Share_MW</vt:lpstr>
      <vt:lpstr>SI_Reserve_Viol</vt:lpstr>
      <vt:lpstr>SI_Risk</vt:lpstr>
      <vt:lpstr>Solver!SI_Risk_FIR</vt:lpstr>
      <vt:lpstr>SI_Risk_LIR</vt:lpstr>
      <vt:lpstr>Solver!SI_Risk_SIR</vt:lpstr>
      <vt:lpstr>Solver!SI_SIR_Cleared</vt:lpstr>
      <vt:lpstr>Solver!SI_SIR_GenRisk1</vt:lpstr>
      <vt:lpstr>Solver!SI_SIR_GenRisk2</vt:lpstr>
      <vt:lpstr>Solver!SI_SIR_GenRisk3</vt:lpstr>
      <vt:lpstr>Solver!SI_SIR_GenRisk4</vt:lpstr>
      <vt:lpstr>Solver!SI_SIR_GenRisk5</vt:lpstr>
      <vt:lpstr>SI_SIR_MW</vt:lpstr>
      <vt:lpstr>Solver!SI_SIR_Price</vt:lpstr>
      <vt:lpstr>Solver!SI_Total_Energy</vt:lpstr>
      <vt:lpstr>SI_Total_FIR</vt:lpstr>
      <vt:lpstr>SI_Total_LIR</vt:lpstr>
      <vt:lpstr>Solver!SI_Total_SIR</vt:lpstr>
      <vt:lpstr>Solver!SI_Viol_Cost_FIR</vt:lpstr>
      <vt:lpstr>Solver!SI_Viol_Cost_Joint</vt:lpstr>
      <vt:lpstr>SI_Viol_Cost_LIR</vt:lpstr>
      <vt:lpstr>Solver!SI_Viol_Cost_SIR</vt:lpstr>
      <vt:lpstr>Solver!SI_Violation_FIR</vt:lpstr>
      <vt:lpstr>Solver!SI_Violation_Joint</vt:lpstr>
      <vt:lpstr>Solver!SI_Violation_LIR</vt:lpstr>
      <vt:lpstr>Solver!SI_Violation_SIR</vt:lpstr>
      <vt:lpstr>Solver!SI_Voll</vt:lpstr>
      <vt:lpstr>Solver!TotalCost</vt:lpstr>
      <vt:lpstr>Solver!Variables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Tuong Nguyen</dc:creator>
  <cp:lastModifiedBy>Tuong Nguyen</cp:lastModifiedBy>
  <dcterms:created xsi:type="dcterms:W3CDTF">2012-11-14T00:23:50Z</dcterms:created>
  <dcterms:modified xsi:type="dcterms:W3CDTF">2017-03-08T20:12:10Z</dcterms:modified>
</cp:coreProperties>
</file>